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2" documentId="11_96E60A376063C3AD2D2A672722BF16F563B882DB" xr6:coauthVersionLast="47" xr6:coauthVersionMax="47" xr10:uidLastSave="{9346B3BF-8966-41EC-8464-B521F00C8BA4}"/>
  <bookViews>
    <workbookView xWindow="0" yWindow="0" windowWidth="16384" windowHeight="8192" tabRatio="500" firstSheet="2" activeTab="2" xr2:uid="{00000000-000D-0000-FFFF-FFFF00000000}"/>
  </bookViews>
  <sheets>
    <sheet name="Config" sheetId="1" state="hidden" r:id="rId1"/>
    <sheet name="Painel" sheetId="2" r:id="rId2"/>
    <sheet name="Resumo" sheetId="3" r:id="rId3"/>
  </sheets>
  <externalReferences>
    <externalReference r:id="rId4"/>
  </externalReferences>
  <definedNames>
    <definedName name="ListaBandeiras">Config!$A$1:$A$12</definedName>
    <definedName name="ListaTipos">Config!$B$1:$B$4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" l="1"/>
  <c r="M18" i="2"/>
  <c r="L18" i="2"/>
  <c r="K18" i="2"/>
  <c r="J18" i="2"/>
  <c r="O17" i="2"/>
  <c r="N17" i="2"/>
  <c r="I16" i="2"/>
  <c r="I18" i="2" s="1"/>
  <c r="H16" i="2"/>
  <c r="H18" i="2" s="1"/>
  <c r="G16" i="2"/>
  <c r="F16" i="2"/>
  <c r="E15" i="2"/>
  <c r="D15" i="2"/>
  <c r="C15" i="2"/>
  <c r="O15" i="2" s="1"/>
  <c r="B15" i="2"/>
  <c r="N15" i="2" s="1"/>
  <c r="E14" i="2"/>
  <c r="D14" i="2"/>
  <c r="C14" i="2"/>
  <c r="O14" i="2" s="1"/>
  <c r="B14" i="2"/>
  <c r="N14" i="2" s="1"/>
  <c r="E13" i="2"/>
  <c r="D13" i="2"/>
  <c r="C13" i="2"/>
  <c r="O13" i="2" s="1"/>
  <c r="B13" i="2"/>
  <c r="N13" i="2" s="1"/>
  <c r="E12" i="2"/>
  <c r="D12" i="2"/>
  <c r="C12" i="2"/>
  <c r="O12" i="2" s="1"/>
  <c r="B12" i="2"/>
  <c r="N12" i="2" s="1"/>
  <c r="E11" i="2"/>
  <c r="D11" i="2"/>
  <c r="C11" i="2"/>
  <c r="O11" i="2" s="1"/>
  <c r="B11" i="2"/>
  <c r="N11" i="2" s="1"/>
  <c r="E10" i="2"/>
  <c r="D10" i="2"/>
  <c r="C10" i="2"/>
  <c r="O10" i="2" s="1"/>
  <c r="B10" i="2"/>
  <c r="N10" i="2" s="1"/>
  <c r="E9" i="2"/>
  <c r="D9" i="2"/>
  <c r="C9" i="2"/>
  <c r="O9" i="2" s="1"/>
  <c r="B9" i="2"/>
  <c r="N9" i="2" s="1"/>
  <c r="E8" i="2"/>
  <c r="D8" i="2"/>
  <c r="C8" i="2"/>
  <c r="O8" i="2" s="1"/>
  <c r="B8" i="2"/>
  <c r="N8" i="2" s="1"/>
  <c r="E7" i="2"/>
  <c r="D7" i="2"/>
  <c r="C7" i="2"/>
  <c r="O7" i="2" s="1"/>
  <c r="B7" i="2"/>
  <c r="N7" i="2" s="1"/>
  <c r="E6" i="2"/>
  <c r="D6" i="2"/>
  <c r="C6" i="2"/>
  <c r="O6" i="2" s="1"/>
  <c r="B6" i="2"/>
  <c r="N6" i="2" s="1"/>
  <c r="E5" i="2"/>
  <c r="E18" i="2" s="1"/>
  <c r="D5" i="2"/>
  <c r="D18" i="2" s="1"/>
  <c r="C5" i="2"/>
  <c r="B5" i="2"/>
  <c r="M18" i="3"/>
  <c r="L18" i="3"/>
  <c r="K18" i="3"/>
  <c r="J18" i="3"/>
  <c r="O17" i="3"/>
  <c r="N17" i="3"/>
  <c r="I16" i="3" l="1"/>
  <c r="I18" i="3" s="1"/>
  <c r="H16" i="3"/>
  <c r="H18" i="3" s="1"/>
  <c r="G16" i="3"/>
  <c r="F16" i="3"/>
  <c r="E15" i="3"/>
  <c r="D15" i="3"/>
  <c r="C15" i="3"/>
  <c r="O15" i="3" s="1"/>
  <c r="B15" i="3"/>
  <c r="N15" i="3" s="1"/>
  <c r="E14" i="3"/>
  <c r="D14" i="3"/>
  <c r="C14" i="3"/>
  <c r="O14" i="3" s="1"/>
  <c r="B14" i="3"/>
  <c r="N14" i="3" s="1"/>
  <c r="E13" i="3"/>
  <c r="D13" i="3"/>
  <c r="C13" i="3"/>
  <c r="O13" i="3" s="1"/>
  <c r="B13" i="3"/>
  <c r="N13" i="3" s="1"/>
  <c r="E12" i="3"/>
  <c r="D12" i="3"/>
  <c r="C12" i="3"/>
  <c r="O12" i="3" s="1"/>
  <c r="B12" i="3"/>
  <c r="N12" i="3" s="1"/>
  <c r="E11" i="3"/>
  <c r="D11" i="3"/>
  <c r="C11" i="3"/>
  <c r="O11" i="3" s="1"/>
  <c r="B11" i="3"/>
  <c r="N11" i="3" s="1"/>
  <c r="E10" i="3"/>
  <c r="D10" i="3"/>
  <c r="C10" i="3"/>
  <c r="O10" i="3" s="1"/>
  <c r="B10" i="3"/>
  <c r="N10" i="3" s="1"/>
  <c r="E9" i="3"/>
  <c r="D9" i="3"/>
  <c r="C9" i="3"/>
  <c r="O9" i="3" s="1"/>
  <c r="B9" i="3"/>
  <c r="N9" i="3" s="1"/>
  <c r="E8" i="3"/>
  <c r="D8" i="3"/>
  <c r="C8" i="3"/>
  <c r="O8" i="3" s="1"/>
  <c r="B8" i="3"/>
  <c r="N8" i="3" s="1"/>
  <c r="E7" i="3"/>
  <c r="D7" i="3"/>
  <c r="C7" i="3"/>
  <c r="O7" i="3" s="1"/>
  <c r="B7" i="3"/>
  <c r="N7" i="3" s="1"/>
  <c r="E6" i="3"/>
  <c r="D6" i="3"/>
  <c r="C6" i="3"/>
  <c r="O6" i="3" s="1"/>
  <c r="B6" i="3"/>
  <c r="N6" i="3" s="1"/>
  <c r="E5" i="3"/>
  <c r="E18" i="3" s="1"/>
  <c r="D5" i="3"/>
  <c r="D18" i="3" s="1"/>
  <c r="C5" i="3"/>
  <c r="B5" i="3"/>
  <c r="B18" i="2"/>
  <c r="N5" i="2"/>
  <c r="C18" i="2"/>
  <c r="O5" i="2"/>
  <c r="F18" i="2"/>
  <c r="N16" i="2"/>
  <c r="G18" i="2"/>
  <c r="O16" i="2"/>
  <c r="O18" i="2" l="1"/>
  <c r="N18" i="2"/>
  <c r="B18" i="3"/>
  <c r="N5" i="3"/>
  <c r="C18" i="3"/>
  <c r="O5" i="3"/>
  <c r="F18" i="3"/>
  <c r="N16" i="3"/>
  <c r="G18" i="3"/>
  <c r="O16" i="3"/>
  <c r="O18" i="3" l="1"/>
  <c r="N18" i="3"/>
</calcChain>
</file>

<file path=xl/sharedStrings.xml><?xml version="1.0" encoding="utf-8"?>
<sst xmlns="http://schemas.openxmlformats.org/spreadsheetml/2006/main" count="308" uniqueCount="32">
  <si>
    <t>Visa</t>
  </si>
  <si>
    <t>Débito à Vista</t>
  </si>
  <si>
    <t>Visa Pré-pago</t>
  </si>
  <si>
    <t>Crédito à Vista</t>
  </si>
  <si>
    <t>Mastercard</t>
  </si>
  <si>
    <t>Sicoob</t>
  </si>
  <si>
    <t>Mastercard Pré-pago</t>
  </si>
  <si>
    <t>Caixa</t>
  </si>
  <si>
    <t>Elo</t>
  </si>
  <si>
    <t>Elo Pré-pago</t>
  </si>
  <si>
    <t>Hipercard</t>
  </si>
  <si>
    <t>American Express</t>
  </si>
  <si>
    <t>Cabal</t>
  </si>
  <si>
    <t>Cabal Pré-pago</t>
  </si>
  <si>
    <t>Alelo</t>
  </si>
  <si>
    <t>PIX</t>
  </si>
  <si>
    <t>Dia:</t>
  </si>
  <si>
    <t>CARTÕES</t>
  </si>
  <si>
    <t>DINHEIRO</t>
  </si>
  <si>
    <t>TOTAL</t>
  </si>
  <si>
    <t>Tipo</t>
  </si>
  <si>
    <t>Espécie</t>
  </si>
  <si>
    <t>Cheque</t>
  </si>
  <si>
    <t>Total Geral</t>
  </si>
  <si>
    <t>Bandeira</t>
  </si>
  <si>
    <t>Qtd</t>
  </si>
  <si>
    <t>Valor (R$)</t>
  </si>
  <si>
    <t>-</t>
  </si>
  <si>
    <t>Dinheiro</t>
  </si>
  <si>
    <t>TOTAL DIÁRIO</t>
  </si>
  <si>
    <t>Mês:</t>
  </si>
  <si>
    <t>TOTAL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</si>
</sst>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"/>
    <numFmt numFmtId="165" formatCode="&quot;R$ &quot;#,##0.00;\-"/>
    <numFmt numFmtId="166" formatCode="mmmm\ yyyy"/>
  </numFmts>
  <fonts count="14">
    <font>
      <sz val="11"/>
      <color theme="1"/>
      <name val="Calibri"/>
      <family val="2"/>
      <charset val="1"/>
    </font>
    <font>
      <b/>
      <sz val="12"/>
      <color rgb="FF6C757D"/>
      <name val="Calibri"/>
      <charset val="1"/>
    </font>
    <font>
      <b/>
      <sz val="12"/>
      <color rgb="FF1B2A3B"/>
      <name val="Calibri"/>
      <charset val="1"/>
    </font>
    <font>
      <sz val="10"/>
      <color rgb="FF212529"/>
      <name val="Calibri"/>
      <charset val="1"/>
    </font>
    <font>
      <b/>
      <sz val="12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1971C2"/>
      <name val="Calibri"/>
      <charset val="1"/>
    </font>
    <font>
      <b/>
      <sz val="10"/>
      <color rgb="FF0284C7"/>
      <name val="Calibri"/>
      <charset val="1"/>
    </font>
    <font>
      <b/>
      <sz val="10"/>
      <color rgb="FF1B2A3B"/>
      <name val="Calibri"/>
      <charset val="1"/>
    </font>
    <font>
      <sz val="10"/>
      <color rgb="FF6C757D"/>
      <name val="Calibri"/>
      <charset val="1"/>
    </font>
    <font>
      <sz val="10"/>
      <color rgb="FFADB5BD"/>
      <name val="Calibri"/>
      <charset val="1"/>
    </font>
    <font>
      <b/>
      <sz val="10"/>
      <color rgb="FF2F9E44"/>
      <name val="Calibri"/>
      <charset val="1"/>
    </font>
    <font>
      <b/>
      <sz val="11"/>
      <color rgb="FFFFFFFF"/>
      <name val="Calibri"/>
      <charset val="1"/>
    </font>
    <font>
      <sz val="11"/>
      <name val="Cambria"/>
      <charset val="1"/>
    </font>
  </fonts>
  <fills count="15">
    <fill>
      <patternFill patternType="none"/>
    </fill>
    <fill>
      <patternFill patternType="gray125"/>
    </fill>
    <fill>
      <patternFill patternType="solid">
        <fgColor rgb="FFF8F9FA"/>
        <bgColor rgb="FFFFFFFF"/>
      </patternFill>
    </fill>
    <fill>
      <patternFill patternType="solid">
        <fgColor rgb="FFFFE066"/>
        <bgColor rgb="FFFFCC00"/>
      </patternFill>
    </fill>
    <fill>
      <patternFill patternType="solid">
        <fgColor rgb="FF1B2A3B"/>
        <bgColor rgb="FF212529"/>
      </patternFill>
    </fill>
    <fill>
      <patternFill patternType="solid">
        <fgColor rgb="FF1971C2"/>
        <bgColor rgb="FF0284C7"/>
      </patternFill>
    </fill>
    <fill>
      <patternFill patternType="solid">
        <fgColor rgb="FF0284C7"/>
        <bgColor rgb="FF1971C2"/>
      </patternFill>
    </fill>
    <fill>
      <patternFill patternType="solid">
        <fgColor rgb="FF1B4332"/>
        <bgColor rgb="FF1B2A3B"/>
      </patternFill>
    </fill>
    <fill>
      <patternFill patternType="solid">
        <fgColor rgb="FFD0EBFF"/>
        <bgColor rgb="FFE0F2FE"/>
      </patternFill>
    </fill>
    <fill>
      <patternFill patternType="solid">
        <fgColor rgb="FFE0F2FE"/>
        <bgColor rgb="FFE7F5FF"/>
      </patternFill>
    </fill>
    <fill>
      <patternFill patternType="solid">
        <fgColor rgb="FFE7F5FF"/>
        <bgColor rgb="FFE0F2FE"/>
      </patternFill>
    </fill>
    <fill>
      <patternFill patternType="solid">
        <fgColor rgb="FFBAE6FD"/>
        <bgColor rgb="FFD0EBFF"/>
      </patternFill>
    </fill>
    <fill>
      <patternFill patternType="solid">
        <fgColor rgb="FFE8EEF7"/>
        <bgColor rgb="FFE0F2FE"/>
      </patternFill>
    </fill>
    <fill>
      <patternFill patternType="solid">
        <fgColor rgb="FFFFFFFF"/>
        <bgColor rgb="FFF8F9FA"/>
      </patternFill>
    </fill>
    <fill>
      <patternFill patternType="solid">
        <fgColor rgb="FFD3F9D8"/>
        <bgColor rgb="FFE0F2FE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left" vertical="center"/>
    </xf>
    <xf numFmtId="164" fontId="9" fillId="10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164" fontId="9" fillId="13" borderId="1" xfId="0" applyNumberFormat="1" applyFont="1" applyFill="1" applyBorder="1" applyAlignment="1">
      <alignment horizontal="center" vertical="center"/>
    </xf>
    <xf numFmtId="165" fontId="3" fillId="13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164" fontId="11" fillId="14" borderId="1" xfId="0" applyNumberFormat="1" applyFont="1" applyFill="1" applyBorder="1" applyAlignment="1">
      <alignment horizontal="center" vertical="center"/>
    </xf>
    <xf numFmtId="165" fontId="11" fillId="14" borderId="1" xfId="0" applyNumberFormat="1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left" vertical="center"/>
    </xf>
    <xf numFmtId="164" fontId="9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2" fillId="9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4" fontId="2" fillId="3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284C7"/>
      <rgbColor rgb="FFADB5BD"/>
      <rgbColor rgb="FF6C757D"/>
      <rgbColor rgb="FF9999FF"/>
      <rgbColor rgb="FF993366"/>
      <rgbColor rgb="FFF8F9FA"/>
      <rgbColor rgb="FFE0F2FE"/>
      <rgbColor rgb="FF660066"/>
      <rgbColor rgb="FFFF8080"/>
      <rgbColor rgb="FF1971C2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BFF"/>
      <rgbColor rgb="FFD3F9D8"/>
      <rgbColor rgb="FFE8EEF7"/>
      <rgbColor rgb="FFBAE6FD"/>
      <rgbColor rgb="FFFF99CC"/>
      <rgbColor rgb="FFE7F5FF"/>
      <rgbColor rgb="FFFFE0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3B"/>
      <rgbColor rgb="FF2F9E44"/>
      <rgbColor rgb="FF003300"/>
      <rgbColor rgb="FF1B4332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YYY-0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YYY-05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zoomScaleNormal="100" workbookViewId="0"/>
  </sheetViews>
  <sheetFormatPr defaultColWidth="8.7109375" defaultRowHeight="15"/>
  <sheetData>
    <row r="1" spans="1:2" ht="15" customHeight="1">
      <c r="A1" t="s">
        <v>0</v>
      </c>
      <c r="B1" t="s">
        <v>1</v>
      </c>
    </row>
    <row r="2" spans="1:2" ht="15" customHeight="1">
      <c r="A2" t="s">
        <v>2</v>
      </c>
      <c r="B2" t="s">
        <v>3</v>
      </c>
    </row>
    <row r="3" spans="1:2" ht="15" customHeight="1">
      <c r="A3" t="s">
        <v>4</v>
      </c>
      <c r="B3" t="s">
        <v>5</v>
      </c>
    </row>
    <row r="4" spans="1:2" ht="15" customHeight="1">
      <c r="A4" t="s">
        <v>6</v>
      </c>
      <c r="B4" t="s">
        <v>7</v>
      </c>
    </row>
    <row r="5" spans="1:2" ht="15" customHeight="1">
      <c r="A5" t="s">
        <v>8</v>
      </c>
    </row>
    <row r="6" spans="1:2" ht="15" customHeight="1">
      <c r="A6" t="s">
        <v>9</v>
      </c>
    </row>
    <row r="7" spans="1:2" ht="15" customHeight="1">
      <c r="A7" t="s">
        <v>10</v>
      </c>
    </row>
    <row r="8" spans="1:2" ht="15" customHeight="1">
      <c r="A8" t="s">
        <v>11</v>
      </c>
    </row>
    <row r="9" spans="1:2" ht="15" customHeight="1">
      <c r="A9" t="s">
        <v>12</v>
      </c>
    </row>
    <row r="10" spans="1:2" ht="15" customHeight="1">
      <c r="A10" t="s">
        <v>13</v>
      </c>
    </row>
    <row r="11" spans="1:2" ht="15" customHeight="1">
      <c r="A11" t="s">
        <v>14</v>
      </c>
    </row>
    <row r="12" spans="1:2" ht="15" customHeight="1">
      <c r="A12" t="s">
        <v>15</v>
      </c>
    </row>
    <row r="13" spans="1:2" ht="15" customHeight="1"/>
    <row r="14" spans="1:2" ht="15" customHeight="1"/>
    <row r="15" spans="1:2" ht="15" customHeight="1"/>
    <row r="16" spans="1:2" ht="15" customHeight="1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"/>
  <sheetViews>
    <sheetView showGridLines="0"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22" customWidth="1"/>
    <col min="2" max="2" width="6" customWidth="1"/>
    <col min="3" max="3" width="13" customWidth="1"/>
    <col min="4" max="4" width="6" customWidth="1"/>
    <col min="5" max="5" width="13" customWidth="1"/>
    <col min="6" max="6" width="6" customWidth="1"/>
    <col min="7" max="7" width="13" customWidth="1"/>
    <col min="8" max="8" width="6" customWidth="1"/>
    <col min="9" max="9" width="13" customWidth="1"/>
    <col min="10" max="10" width="6" customWidth="1"/>
    <col min="11" max="11" width="13" customWidth="1"/>
    <col min="12" max="12" width="6" customWidth="1"/>
    <col min="13" max="13" width="13" customWidth="1"/>
    <col min="14" max="14" width="6" customWidth="1"/>
    <col min="15" max="15" width="13" customWidth="1"/>
  </cols>
  <sheetData>
    <row r="1" spans="1:15" ht="21" customHeight="1">
      <c r="A1" s="1" t="s">
        <v>16</v>
      </c>
      <c r="B1" s="33">
        <v>46149</v>
      </c>
      <c r="C1" s="36"/>
      <c r="D1" s="36"/>
      <c r="E1" s="36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.75" customHeight="1">
      <c r="A2" s="3"/>
      <c r="B2" s="35" t="s">
        <v>17</v>
      </c>
      <c r="C2" s="36"/>
      <c r="D2" s="36"/>
      <c r="E2" s="36"/>
      <c r="F2" s="34" t="s">
        <v>15</v>
      </c>
      <c r="G2" s="36"/>
      <c r="H2" s="36"/>
      <c r="I2" s="36"/>
      <c r="J2" s="35" t="s">
        <v>18</v>
      </c>
      <c r="K2" s="36"/>
      <c r="L2" s="36"/>
      <c r="M2" s="36"/>
      <c r="N2" s="28" t="s">
        <v>19</v>
      </c>
      <c r="O2" s="36"/>
    </row>
    <row r="3" spans="1:15" ht="18.75" customHeight="1">
      <c r="A3" s="4" t="s">
        <v>20</v>
      </c>
      <c r="B3" s="32" t="s">
        <v>1</v>
      </c>
      <c r="C3" s="36"/>
      <c r="D3" s="32" t="s">
        <v>3</v>
      </c>
      <c r="E3" s="36"/>
      <c r="F3" s="31" t="s">
        <v>5</v>
      </c>
      <c r="G3" s="36"/>
      <c r="H3" s="31" t="s">
        <v>7</v>
      </c>
      <c r="I3" s="36"/>
      <c r="J3" s="32" t="s">
        <v>21</v>
      </c>
      <c r="K3" s="36"/>
      <c r="L3" s="32" t="s">
        <v>22</v>
      </c>
      <c r="M3" s="36"/>
      <c r="N3" s="28" t="s">
        <v>23</v>
      </c>
      <c r="O3" s="36"/>
    </row>
    <row r="4" spans="1:15" ht="15.75" customHeight="1">
      <c r="A4" s="4" t="s">
        <v>24</v>
      </c>
      <c r="B4" s="5" t="s">
        <v>25</v>
      </c>
      <c r="C4" s="5" t="s">
        <v>26</v>
      </c>
      <c r="D4" s="5" t="s">
        <v>25</v>
      </c>
      <c r="E4" s="5" t="s">
        <v>26</v>
      </c>
      <c r="F4" s="6" t="s">
        <v>25</v>
      </c>
      <c r="G4" s="6" t="s">
        <v>26</v>
      </c>
      <c r="H4" s="6" t="s">
        <v>25</v>
      </c>
      <c r="I4" s="6" t="s">
        <v>26</v>
      </c>
      <c r="J4" s="5" t="s">
        <v>25</v>
      </c>
      <c r="K4" s="5" t="s">
        <v>26</v>
      </c>
      <c r="L4" s="5" t="s">
        <v>25</v>
      </c>
      <c r="M4" s="5" t="s">
        <v>26</v>
      </c>
      <c r="N4" s="7" t="s">
        <v>25</v>
      </c>
      <c r="O4" s="7" t="s">
        <v>26</v>
      </c>
    </row>
    <row r="5" spans="1:15" ht="24" customHeight="1">
      <c r="A5" s="8" t="s">
        <v>0</v>
      </c>
      <c r="B5" s="9">
        <f ca="1">IFERROR(COUNTIFS(INDIRECT("'"&amp;TEXT(B1,"YYYY-MM")&amp;"'!B:B"),$A5,INDIRECT("'"&amp;TEXT(B1,"YYYY-MM")&amp;"'!C:C"),"Débito à Vista",INDIRECT("'"&amp;TEXT(B1,"YYYY-MM")&amp;"'!D:D"),B1),0)</f>
        <v>0</v>
      </c>
      <c r="C5" s="10">
        <f ca="1">IFERROR(SUMIFS(INDIRECT("'"&amp;TEXT(B1,"YYYY-MM")&amp;"'!E:E"),INDIRECT("'"&amp;TEXT(B1,"YYYY-MM")&amp;"'!B:B"),$A5,INDIRECT("'"&amp;TEXT(B1,"YYYY-MM")&amp;"'!C:C"),"Débito à Vista",INDIRECT("'"&amp;TEXT(B1,"YYYY-MM")&amp;"'!D:D"),B1),0)</f>
        <v>0</v>
      </c>
      <c r="D5" s="11">
        <f ca="1">IFERROR(COUNTIFS(INDIRECT("'"&amp;TEXT(B1,"YYYY-MM")&amp;"'!B:B"),$A5,INDIRECT("'"&amp;TEXT(B1,"YYYY-MM")&amp;"'!C:C"),"Crédito à Vista",INDIRECT("'"&amp;TEXT(B1,"YYYY-MM")&amp;"'!D:D"),B1),0)</f>
        <v>0</v>
      </c>
      <c r="E5" s="12">
        <f ca="1">IFERROR(SUMIFS(INDIRECT("'"&amp;TEXT(B1,"YYYY-MM")&amp;"'!E:E"),INDIRECT("'"&amp;TEXT(B1,"YYYY-MM")&amp;"'!B:B"),$A5,INDIRECT("'"&amp;TEXT(B1,"YYYY-MM")&amp;"'!C:C"),"Crédito à Vista",INDIRECT("'"&amp;TEXT(B1,"YYYY-MM")&amp;"'!D:D"),B1),0)</f>
        <v>0</v>
      </c>
      <c r="F5" s="13" t="s">
        <v>27</v>
      </c>
      <c r="G5" s="13" t="s">
        <v>27</v>
      </c>
      <c r="H5" s="13" t="s">
        <v>27</v>
      </c>
      <c r="I5" s="13" t="s">
        <v>27</v>
      </c>
      <c r="J5" s="14" t="s">
        <v>27</v>
      </c>
      <c r="K5" s="14" t="s">
        <v>27</v>
      </c>
      <c r="L5" s="15" t="s">
        <v>27</v>
      </c>
      <c r="M5" s="15" t="s">
        <v>27</v>
      </c>
      <c r="N5" s="16">
        <f ca="1">IFERROR(B5+D5+F5+H5,0)</f>
        <v>0</v>
      </c>
      <c r="O5" s="17">
        <f ca="1">IFERROR(C5+E5+G5+I5,0)</f>
        <v>0</v>
      </c>
    </row>
    <row r="6" spans="1:15" ht="24" customHeight="1">
      <c r="A6" s="18" t="s">
        <v>2</v>
      </c>
      <c r="B6" s="9">
        <f ca="1">IFERROR(COUNTIFS(INDIRECT("'"&amp;TEXT(B1,"YYYY-MM")&amp;"'!B:B"),$A6,INDIRECT("'"&amp;TEXT(B1,"YYYY-MM")&amp;"'!C:C"),"Débito à Vista",INDIRECT("'"&amp;TEXT(B1,"YYYY-MM")&amp;"'!D:D"),B1),0)</f>
        <v>0</v>
      </c>
      <c r="C6" s="10">
        <f ca="1">IFERROR(SUMIFS(INDIRECT("'"&amp;TEXT(B1,"YYYY-MM")&amp;"'!E:E"),INDIRECT("'"&amp;TEXT(B1,"YYYY-MM")&amp;"'!B:B"),$A6,INDIRECT("'"&amp;TEXT(B1,"YYYY-MM")&amp;"'!C:C"),"Débito à Vista",INDIRECT("'"&amp;TEXT(B1,"YYYY-MM")&amp;"'!D:D"),B1),0)</f>
        <v>0</v>
      </c>
      <c r="D6" s="11">
        <f ca="1">IFERROR(COUNTIFS(INDIRECT("'"&amp;TEXT(B1,"YYYY-MM")&amp;"'!B:B"),$A6,INDIRECT("'"&amp;TEXT(B1,"YYYY-MM")&amp;"'!C:C"),"Crédito à Vista",INDIRECT("'"&amp;TEXT(B1,"YYYY-MM")&amp;"'!D:D"),B1),0)</f>
        <v>0</v>
      </c>
      <c r="E6" s="12">
        <f ca="1">IFERROR(SUMIFS(INDIRECT("'"&amp;TEXT(B1,"YYYY-MM")&amp;"'!E:E"),INDIRECT("'"&amp;TEXT(B1,"YYYY-MM")&amp;"'!B:B"),$A6,INDIRECT("'"&amp;TEXT(B1,"YYYY-MM")&amp;"'!C:C"),"Crédito à Vista",INDIRECT("'"&amp;TEXT(B1,"YYYY-MM")&amp;"'!D:D"),B1),0)</f>
        <v>0</v>
      </c>
      <c r="F6" s="13" t="s">
        <v>27</v>
      </c>
      <c r="G6" s="13" t="s">
        <v>27</v>
      </c>
      <c r="H6" s="13" t="s">
        <v>27</v>
      </c>
      <c r="I6" s="13" t="s">
        <v>27</v>
      </c>
      <c r="J6" s="14" t="s">
        <v>27</v>
      </c>
      <c r="K6" s="14" t="s">
        <v>27</v>
      </c>
      <c r="L6" s="15" t="s">
        <v>27</v>
      </c>
      <c r="M6" s="15" t="s">
        <v>27</v>
      </c>
      <c r="N6" s="16">
        <f ca="1">IFERROR(B6+D6+F6+H6,0)</f>
        <v>0</v>
      </c>
      <c r="O6" s="17">
        <f ca="1">IFERROR(C6+E6+G6+I6,0)</f>
        <v>0</v>
      </c>
    </row>
    <row r="7" spans="1:15" ht="24" customHeight="1">
      <c r="A7" s="8" t="s">
        <v>4</v>
      </c>
      <c r="B7" s="9">
        <f ca="1">IFERROR(COUNTIFS(INDIRECT("'"&amp;TEXT(B1,"YYYY-MM")&amp;"'!B:B"),$A7,INDIRECT("'"&amp;TEXT(B1,"YYYY-MM")&amp;"'!C:C"),"Débito à Vista",INDIRECT("'"&amp;TEXT(B1,"YYYY-MM")&amp;"'!D:D"),B1),0)</f>
        <v>0</v>
      </c>
      <c r="C7" s="10">
        <f ca="1">IFERROR(SUMIFS(INDIRECT("'"&amp;TEXT(B1,"YYYY-MM")&amp;"'!E:E"),INDIRECT("'"&amp;TEXT(B1,"YYYY-MM")&amp;"'!B:B"),$A7,INDIRECT("'"&amp;TEXT(B1,"YYYY-MM")&amp;"'!C:C"),"Débito à Vista",INDIRECT("'"&amp;TEXT(B1,"YYYY-MM")&amp;"'!D:D"),B1),0)</f>
        <v>0</v>
      </c>
      <c r="D7" s="11">
        <f ca="1">IFERROR(COUNTIFS(INDIRECT("'"&amp;TEXT(B1,"YYYY-MM")&amp;"'!B:B"),$A7,INDIRECT("'"&amp;TEXT(B1,"YYYY-MM")&amp;"'!C:C"),"Crédito à Vista",INDIRECT("'"&amp;TEXT(B1,"YYYY-MM")&amp;"'!D:D"),B1),0)</f>
        <v>0</v>
      </c>
      <c r="E7" s="12">
        <f ca="1">IFERROR(SUMIFS(INDIRECT("'"&amp;TEXT(B1,"YYYY-MM")&amp;"'!E:E"),INDIRECT("'"&amp;TEXT(B1,"YYYY-MM")&amp;"'!B:B"),$A7,INDIRECT("'"&amp;TEXT(B1,"YYYY-MM")&amp;"'!C:C"),"Crédito à Vista",INDIRECT("'"&amp;TEXT(B1,"YYYY-MM")&amp;"'!D:D"),B1),0)</f>
        <v>0</v>
      </c>
      <c r="F7" s="13" t="s">
        <v>27</v>
      </c>
      <c r="G7" s="13" t="s">
        <v>27</v>
      </c>
      <c r="H7" s="13" t="s">
        <v>27</v>
      </c>
      <c r="I7" s="13" t="s">
        <v>27</v>
      </c>
      <c r="J7" s="14" t="s">
        <v>27</v>
      </c>
      <c r="K7" s="14" t="s">
        <v>27</v>
      </c>
      <c r="L7" s="15" t="s">
        <v>27</v>
      </c>
      <c r="M7" s="15" t="s">
        <v>27</v>
      </c>
      <c r="N7" s="16">
        <f ca="1">IFERROR(B7+D7+F7+H7,0)</f>
        <v>0</v>
      </c>
      <c r="O7" s="17">
        <f ca="1">IFERROR(C7+E7+G7+I7,0)</f>
        <v>0</v>
      </c>
    </row>
    <row r="8" spans="1:15" ht="24" customHeight="1">
      <c r="A8" s="18" t="s">
        <v>6</v>
      </c>
      <c r="B8" s="9">
        <f ca="1">IFERROR(COUNTIFS(INDIRECT("'"&amp;TEXT(B1,"YYYY-MM")&amp;"'!B:B"),$A8,INDIRECT("'"&amp;TEXT(B1,"YYYY-MM")&amp;"'!C:C"),"Débito à Vista",INDIRECT("'"&amp;TEXT(B1,"YYYY-MM")&amp;"'!D:D"),B1),0)</f>
        <v>0</v>
      </c>
      <c r="C8" s="10">
        <f ca="1">IFERROR(SUMIFS(INDIRECT("'"&amp;TEXT(B1,"YYYY-MM")&amp;"'!E:E"),INDIRECT("'"&amp;TEXT(B1,"YYYY-MM")&amp;"'!B:B"),$A8,INDIRECT("'"&amp;TEXT(B1,"YYYY-MM")&amp;"'!C:C"),"Débito à Vista",INDIRECT("'"&amp;TEXT(B1,"YYYY-MM")&amp;"'!D:D"),B1),0)</f>
        <v>0</v>
      </c>
      <c r="D8" s="11">
        <f ca="1">IFERROR(COUNTIFS(INDIRECT("'"&amp;TEXT(B1,"YYYY-MM")&amp;"'!B:B"),$A8,INDIRECT("'"&amp;TEXT(B1,"YYYY-MM")&amp;"'!C:C"),"Crédito à Vista",INDIRECT("'"&amp;TEXT(B1,"YYYY-MM")&amp;"'!D:D"),B1),0)</f>
        <v>0</v>
      </c>
      <c r="E8" s="12">
        <f ca="1">IFERROR(SUMIFS(INDIRECT("'"&amp;TEXT(B1,"YYYY-MM")&amp;"'!E:E"),INDIRECT("'"&amp;TEXT(B1,"YYYY-MM")&amp;"'!B:B"),$A8,INDIRECT("'"&amp;TEXT(B1,"YYYY-MM")&amp;"'!C:C"),"Crédito à Vista",INDIRECT("'"&amp;TEXT(B1,"YYYY-MM")&amp;"'!D:D"),B1),0)</f>
        <v>0</v>
      </c>
      <c r="F8" s="13" t="s">
        <v>27</v>
      </c>
      <c r="G8" s="13" t="s">
        <v>27</v>
      </c>
      <c r="H8" s="13" t="s">
        <v>27</v>
      </c>
      <c r="I8" s="13" t="s">
        <v>27</v>
      </c>
      <c r="J8" s="14" t="s">
        <v>27</v>
      </c>
      <c r="K8" s="14" t="s">
        <v>27</v>
      </c>
      <c r="L8" s="15" t="s">
        <v>27</v>
      </c>
      <c r="M8" s="15" t="s">
        <v>27</v>
      </c>
      <c r="N8" s="16">
        <f ca="1">IFERROR(B8+D8+F8+H8,0)</f>
        <v>0</v>
      </c>
      <c r="O8" s="17">
        <f ca="1">IFERROR(C8+E8+G8+I8,0)</f>
        <v>0</v>
      </c>
    </row>
    <row r="9" spans="1:15" ht="24" customHeight="1">
      <c r="A9" s="8" t="s">
        <v>8</v>
      </c>
      <c r="B9" s="9">
        <f ca="1">IFERROR(COUNTIFS(INDIRECT("'"&amp;TEXT(B1,"YYYY-MM")&amp;"'!B:B"),$A9,INDIRECT("'"&amp;TEXT(B1,"YYYY-MM")&amp;"'!C:C"),"Débito à Vista",INDIRECT("'"&amp;TEXT(B1,"YYYY-MM")&amp;"'!D:D"),B1),0)</f>
        <v>0</v>
      </c>
      <c r="C9" s="10">
        <f ca="1">IFERROR(SUMIFS(INDIRECT("'"&amp;TEXT(B1,"YYYY-MM")&amp;"'!E:E"),INDIRECT("'"&amp;TEXT(B1,"YYYY-MM")&amp;"'!B:B"),$A9,INDIRECT("'"&amp;TEXT(B1,"YYYY-MM")&amp;"'!C:C"),"Débito à Vista",INDIRECT("'"&amp;TEXT(B1,"YYYY-MM")&amp;"'!D:D"),B1),0)</f>
        <v>0</v>
      </c>
      <c r="D9" s="11">
        <f ca="1">IFERROR(COUNTIFS(INDIRECT("'"&amp;TEXT(B1,"YYYY-MM")&amp;"'!B:B"),$A9,INDIRECT("'"&amp;TEXT(B1,"YYYY-MM")&amp;"'!C:C"),"Crédito à Vista",INDIRECT("'"&amp;TEXT(B1,"YYYY-MM")&amp;"'!D:D"),B1),0)</f>
        <v>0</v>
      </c>
      <c r="E9" s="12">
        <f ca="1">IFERROR(SUMIFS(INDIRECT("'"&amp;TEXT(B1,"YYYY-MM")&amp;"'!E:E"),INDIRECT("'"&amp;TEXT(B1,"YYYY-MM")&amp;"'!B:B"),$A9,INDIRECT("'"&amp;TEXT(B1,"YYYY-MM")&amp;"'!C:C"),"Crédito à Vista",INDIRECT("'"&amp;TEXT(B1,"YYYY-MM")&amp;"'!D:D"),B1),0)</f>
        <v>0</v>
      </c>
      <c r="F9" s="13" t="s">
        <v>27</v>
      </c>
      <c r="G9" s="13" t="s">
        <v>27</v>
      </c>
      <c r="H9" s="13" t="s">
        <v>27</v>
      </c>
      <c r="I9" s="13" t="s">
        <v>27</v>
      </c>
      <c r="J9" s="14" t="s">
        <v>27</v>
      </c>
      <c r="K9" s="14" t="s">
        <v>27</v>
      </c>
      <c r="L9" s="15" t="s">
        <v>27</v>
      </c>
      <c r="M9" s="15" t="s">
        <v>27</v>
      </c>
      <c r="N9" s="16">
        <f ca="1">IFERROR(B9+D9+F9+H9,0)</f>
        <v>0</v>
      </c>
      <c r="O9" s="17">
        <f ca="1">IFERROR(C9+E9+G9+I9,0)</f>
        <v>0</v>
      </c>
    </row>
    <row r="10" spans="1:15" ht="24" customHeight="1">
      <c r="A10" s="18" t="s">
        <v>9</v>
      </c>
      <c r="B10" s="9">
        <f ca="1">IFERROR(COUNTIFS(INDIRECT("'"&amp;TEXT(B1,"YYYY-MM")&amp;"'!B:B"),$A10,INDIRECT("'"&amp;TEXT(B1,"YYYY-MM")&amp;"'!C:C"),"Débito à Vista",INDIRECT("'"&amp;TEXT(B1,"YYYY-MM")&amp;"'!D:D"),B1),0)</f>
        <v>0</v>
      </c>
      <c r="C10" s="10">
        <f ca="1">IFERROR(SUMIFS(INDIRECT("'"&amp;TEXT(B1,"YYYY-MM")&amp;"'!E:E"),INDIRECT("'"&amp;TEXT(B1,"YYYY-MM")&amp;"'!B:B"),$A10,INDIRECT("'"&amp;TEXT(B1,"YYYY-MM")&amp;"'!C:C"),"Débito à Vista",INDIRECT("'"&amp;TEXT(B1,"YYYY-MM")&amp;"'!D:D"),B1),0)</f>
        <v>0</v>
      </c>
      <c r="D10" s="11">
        <f ca="1">IFERROR(COUNTIFS(INDIRECT("'"&amp;TEXT(B1,"YYYY-MM")&amp;"'!B:B"),$A10,INDIRECT("'"&amp;TEXT(B1,"YYYY-MM")&amp;"'!C:C"),"Crédito à Vista",INDIRECT("'"&amp;TEXT(B1,"YYYY-MM")&amp;"'!D:D"),B1),0)</f>
        <v>0</v>
      </c>
      <c r="E10" s="12">
        <f ca="1">IFERROR(SUMIFS(INDIRECT("'"&amp;TEXT(B1,"YYYY-MM")&amp;"'!E:E"),INDIRECT("'"&amp;TEXT(B1,"YYYY-MM")&amp;"'!B:B"),$A10,INDIRECT("'"&amp;TEXT(B1,"YYYY-MM")&amp;"'!C:C"),"Crédito à Vista",INDIRECT("'"&amp;TEXT(B1,"YYYY-MM")&amp;"'!D:D"),B1),0)</f>
        <v>0</v>
      </c>
      <c r="F10" s="13" t="s">
        <v>27</v>
      </c>
      <c r="G10" s="13" t="s">
        <v>27</v>
      </c>
      <c r="H10" s="13" t="s">
        <v>27</v>
      </c>
      <c r="I10" s="13" t="s">
        <v>27</v>
      </c>
      <c r="J10" s="14" t="s">
        <v>27</v>
      </c>
      <c r="K10" s="14" t="s">
        <v>27</v>
      </c>
      <c r="L10" s="15" t="s">
        <v>27</v>
      </c>
      <c r="M10" s="15" t="s">
        <v>27</v>
      </c>
      <c r="N10" s="16">
        <f ca="1">IFERROR(B10+D10+F10+H10,0)</f>
        <v>0</v>
      </c>
      <c r="O10" s="17">
        <f ca="1">IFERROR(C10+E10+G10+I10,0)</f>
        <v>0</v>
      </c>
    </row>
    <row r="11" spans="1:15" ht="24" customHeight="1">
      <c r="A11" s="8" t="s">
        <v>10</v>
      </c>
      <c r="B11" s="9">
        <f ca="1">IFERROR(COUNTIFS(INDIRECT("'"&amp;TEXT(B1,"YYYY-MM")&amp;"'!B:B"),$A11,INDIRECT("'"&amp;TEXT(B1,"YYYY-MM")&amp;"'!C:C"),"Débito à Vista",INDIRECT("'"&amp;TEXT(B1,"YYYY-MM")&amp;"'!D:D"),B1),0)</f>
        <v>0</v>
      </c>
      <c r="C11" s="10">
        <f ca="1">IFERROR(SUMIFS(INDIRECT("'"&amp;TEXT(B1,"YYYY-MM")&amp;"'!E:E"),INDIRECT("'"&amp;TEXT(B1,"YYYY-MM")&amp;"'!B:B"),$A11,INDIRECT("'"&amp;TEXT(B1,"YYYY-MM")&amp;"'!C:C"),"Débito à Vista",INDIRECT("'"&amp;TEXT(B1,"YYYY-MM")&amp;"'!D:D"),B1),0)</f>
        <v>0</v>
      </c>
      <c r="D11" s="11">
        <f ca="1">IFERROR(COUNTIFS(INDIRECT("'"&amp;TEXT(B1,"YYYY-MM")&amp;"'!B:B"),$A11,INDIRECT("'"&amp;TEXT(B1,"YYYY-MM")&amp;"'!C:C"),"Crédito à Vista",INDIRECT("'"&amp;TEXT(B1,"YYYY-MM")&amp;"'!D:D"),B1),0)</f>
        <v>0</v>
      </c>
      <c r="E11" s="12">
        <f ca="1">IFERROR(SUMIFS(INDIRECT("'"&amp;TEXT(B1,"YYYY-MM")&amp;"'!E:E"),INDIRECT("'"&amp;TEXT(B1,"YYYY-MM")&amp;"'!B:B"),$A11,INDIRECT("'"&amp;TEXT(B1,"YYYY-MM")&amp;"'!C:C"),"Crédito à Vista",INDIRECT("'"&amp;TEXT(B1,"YYYY-MM")&amp;"'!D:D"),B1),0)</f>
        <v>0</v>
      </c>
      <c r="F11" s="13" t="s">
        <v>27</v>
      </c>
      <c r="G11" s="13" t="s">
        <v>27</v>
      </c>
      <c r="H11" s="13" t="s">
        <v>27</v>
      </c>
      <c r="I11" s="13" t="s">
        <v>27</v>
      </c>
      <c r="J11" s="14" t="s">
        <v>27</v>
      </c>
      <c r="K11" s="14" t="s">
        <v>27</v>
      </c>
      <c r="L11" s="15" t="s">
        <v>27</v>
      </c>
      <c r="M11" s="15" t="s">
        <v>27</v>
      </c>
      <c r="N11" s="16">
        <f ca="1">IFERROR(B11+D11+F11+H11,0)</f>
        <v>0</v>
      </c>
      <c r="O11" s="17">
        <f ca="1">IFERROR(C11+E11+G11+I11,0)</f>
        <v>0</v>
      </c>
    </row>
    <row r="12" spans="1:15" ht="24" customHeight="1">
      <c r="A12" s="18" t="s">
        <v>11</v>
      </c>
      <c r="B12" s="9">
        <f ca="1">IFERROR(COUNTIFS(INDIRECT("'"&amp;TEXT(B1,"YYYY-MM")&amp;"'!B:B"),$A12,INDIRECT("'"&amp;TEXT(B1,"YYYY-MM")&amp;"'!C:C"),"Débito à Vista",INDIRECT("'"&amp;TEXT(B1,"YYYY-MM")&amp;"'!D:D"),B1),0)</f>
        <v>0</v>
      </c>
      <c r="C12" s="10">
        <f ca="1">IFERROR(SUMIFS(INDIRECT("'"&amp;TEXT(B1,"YYYY-MM")&amp;"'!E:E"),INDIRECT("'"&amp;TEXT(B1,"YYYY-MM")&amp;"'!B:B"),$A12,INDIRECT("'"&amp;TEXT(B1,"YYYY-MM")&amp;"'!C:C"),"Débito à Vista",INDIRECT("'"&amp;TEXT(B1,"YYYY-MM")&amp;"'!D:D"),B1),0)</f>
        <v>0</v>
      </c>
      <c r="D12" s="11">
        <f ca="1">IFERROR(COUNTIFS(INDIRECT("'"&amp;TEXT(B1,"YYYY-MM")&amp;"'!B:B"),$A12,INDIRECT("'"&amp;TEXT(B1,"YYYY-MM")&amp;"'!C:C"),"Crédito à Vista",INDIRECT("'"&amp;TEXT(B1,"YYYY-MM")&amp;"'!D:D"),B1),0)</f>
        <v>0</v>
      </c>
      <c r="E12" s="12">
        <f ca="1">IFERROR(SUMIFS(INDIRECT("'"&amp;TEXT(B1,"YYYY-MM")&amp;"'!E:E"),INDIRECT("'"&amp;TEXT(B1,"YYYY-MM")&amp;"'!B:B"),$A12,INDIRECT("'"&amp;TEXT(B1,"YYYY-MM")&amp;"'!C:C"),"Crédito à Vista",INDIRECT("'"&amp;TEXT(B1,"YYYY-MM")&amp;"'!D:D"),B1),0)</f>
        <v>0</v>
      </c>
      <c r="F12" s="13" t="s">
        <v>27</v>
      </c>
      <c r="G12" s="13" t="s">
        <v>27</v>
      </c>
      <c r="H12" s="13" t="s">
        <v>27</v>
      </c>
      <c r="I12" s="13" t="s">
        <v>27</v>
      </c>
      <c r="J12" s="14" t="s">
        <v>27</v>
      </c>
      <c r="K12" s="14" t="s">
        <v>27</v>
      </c>
      <c r="L12" s="15" t="s">
        <v>27</v>
      </c>
      <c r="M12" s="15" t="s">
        <v>27</v>
      </c>
      <c r="N12" s="16">
        <f ca="1">IFERROR(B12+D12+F12+H12,0)</f>
        <v>0</v>
      </c>
      <c r="O12" s="17">
        <f ca="1">IFERROR(C12+E12+G12+I12,0)</f>
        <v>0</v>
      </c>
    </row>
    <row r="13" spans="1:15" ht="24" customHeight="1">
      <c r="A13" s="8" t="s">
        <v>12</v>
      </c>
      <c r="B13" s="9">
        <f ca="1">IFERROR(COUNTIFS(INDIRECT("'"&amp;TEXT(B1,"YYYY-MM")&amp;"'!B:B"),$A13,INDIRECT("'"&amp;TEXT(B1,"YYYY-MM")&amp;"'!C:C"),"Débito à Vista",INDIRECT("'"&amp;TEXT(B1,"YYYY-MM")&amp;"'!D:D"),B1),0)</f>
        <v>0</v>
      </c>
      <c r="C13" s="10">
        <f ca="1">IFERROR(SUMIFS(INDIRECT("'"&amp;TEXT(B1,"YYYY-MM")&amp;"'!E:E"),INDIRECT("'"&amp;TEXT(B1,"YYYY-MM")&amp;"'!B:B"),$A13,INDIRECT("'"&amp;TEXT(B1,"YYYY-MM")&amp;"'!C:C"),"Débito à Vista",INDIRECT("'"&amp;TEXT(B1,"YYYY-MM")&amp;"'!D:D"),B1),0)</f>
        <v>0</v>
      </c>
      <c r="D13" s="11">
        <f ca="1">IFERROR(COUNTIFS(INDIRECT("'"&amp;TEXT(B1,"YYYY-MM")&amp;"'!B:B"),$A13,INDIRECT("'"&amp;TEXT(B1,"YYYY-MM")&amp;"'!C:C"),"Crédito à Vista",INDIRECT("'"&amp;TEXT(B1,"YYYY-MM")&amp;"'!D:D"),B1),0)</f>
        <v>0</v>
      </c>
      <c r="E13" s="12">
        <f ca="1">IFERROR(SUMIFS(INDIRECT("'"&amp;TEXT(B1,"YYYY-MM")&amp;"'!E:E"),INDIRECT("'"&amp;TEXT(B1,"YYYY-MM")&amp;"'!B:B"),$A13,INDIRECT("'"&amp;TEXT(B1,"YYYY-MM")&amp;"'!C:C"),"Crédito à Vista",INDIRECT("'"&amp;TEXT(B1,"YYYY-MM")&amp;"'!D:D"),B1),0)</f>
        <v>0</v>
      </c>
      <c r="F13" s="13" t="s">
        <v>27</v>
      </c>
      <c r="G13" s="13" t="s">
        <v>27</v>
      </c>
      <c r="H13" s="13" t="s">
        <v>27</v>
      </c>
      <c r="I13" s="13" t="s">
        <v>27</v>
      </c>
      <c r="J13" s="14" t="s">
        <v>27</v>
      </c>
      <c r="K13" s="14" t="s">
        <v>27</v>
      </c>
      <c r="L13" s="15" t="s">
        <v>27</v>
      </c>
      <c r="M13" s="15" t="s">
        <v>27</v>
      </c>
      <c r="N13" s="16">
        <f ca="1">IFERROR(B13+D13+F13+H13,0)</f>
        <v>0</v>
      </c>
      <c r="O13" s="17">
        <f ca="1">IFERROR(C13+E13+G13+I13,0)</f>
        <v>0</v>
      </c>
    </row>
    <row r="14" spans="1:15" ht="24" customHeight="1">
      <c r="A14" s="18" t="s">
        <v>13</v>
      </c>
      <c r="B14" s="9">
        <f ca="1">IFERROR(COUNTIFS(INDIRECT("'"&amp;TEXT(B1,"YYYY-MM")&amp;"'!B:B"),$A14,INDIRECT("'"&amp;TEXT(B1,"YYYY-MM")&amp;"'!C:C"),"Débito à Vista",INDIRECT("'"&amp;TEXT(B1,"YYYY-MM")&amp;"'!D:D"),B1),0)</f>
        <v>0</v>
      </c>
      <c r="C14" s="10">
        <f ca="1">IFERROR(SUMIFS(INDIRECT("'"&amp;TEXT(B1,"YYYY-MM")&amp;"'!E:E"),INDIRECT("'"&amp;TEXT(B1,"YYYY-MM")&amp;"'!B:B"),$A14,INDIRECT("'"&amp;TEXT(B1,"YYYY-MM")&amp;"'!C:C"),"Débito à Vista",INDIRECT("'"&amp;TEXT(B1,"YYYY-MM")&amp;"'!D:D"),B1),0)</f>
        <v>0</v>
      </c>
      <c r="D14" s="11">
        <f ca="1">IFERROR(COUNTIFS(INDIRECT("'"&amp;TEXT(B1,"YYYY-MM")&amp;"'!B:B"),$A14,INDIRECT("'"&amp;TEXT(B1,"YYYY-MM")&amp;"'!C:C"),"Crédito à Vista",INDIRECT("'"&amp;TEXT(B1,"YYYY-MM")&amp;"'!D:D"),B1),0)</f>
        <v>0</v>
      </c>
      <c r="E14" s="12">
        <f ca="1">IFERROR(SUMIFS(INDIRECT("'"&amp;TEXT(B1,"YYYY-MM")&amp;"'!E:E"),INDIRECT("'"&amp;TEXT(B1,"YYYY-MM")&amp;"'!B:B"),$A14,INDIRECT("'"&amp;TEXT(B1,"YYYY-MM")&amp;"'!C:C"),"Crédito à Vista",INDIRECT("'"&amp;TEXT(B1,"YYYY-MM")&amp;"'!D:D"),B1),0)</f>
        <v>0</v>
      </c>
      <c r="F14" s="13" t="s">
        <v>27</v>
      </c>
      <c r="G14" s="13" t="s">
        <v>27</v>
      </c>
      <c r="H14" s="13" t="s">
        <v>27</v>
      </c>
      <c r="I14" s="13" t="s">
        <v>27</v>
      </c>
      <c r="J14" s="14" t="s">
        <v>27</v>
      </c>
      <c r="K14" s="14" t="s">
        <v>27</v>
      </c>
      <c r="L14" s="15" t="s">
        <v>27</v>
      </c>
      <c r="M14" s="15" t="s">
        <v>27</v>
      </c>
      <c r="N14" s="16">
        <f ca="1">IFERROR(B14+D14+F14+H14,0)</f>
        <v>0</v>
      </c>
      <c r="O14" s="17">
        <f ca="1">IFERROR(C14+E14+G14+I14,0)</f>
        <v>0</v>
      </c>
    </row>
    <row r="15" spans="1:15" ht="24" customHeight="1">
      <c r="A15" s="8" t="s">
        <v>14</v>
      </c>
      <c r="B15" s="9">
        <f ca="1">IFERROR(COUNTIFS(INDIRECT("'"&amp;TEXT(B1,"YYYY-MM")&amp;"'!B:B"),$A15,INDIRECT("'"&amp;TEXT(B1,"YYYY-MM")&amp;"'!C:C"),"Débito à Vista",INDIRECT("'"&amp;TEXT(B1,"YYYY-MM")&amp;"'!D:D"),B1),0)</f>
        <v>0</v>
      </c>
      <c r="C15" s="10">
        <f ca="1">IFERROR(SUMIFS(INDIRECT("'"&amp;TEXT(B1,"YYYY-MM")&amp;"'!E:E"),INDIRECT("'"&amp;TEXT(B1,"YYYY-MM")&amp;"'!B:B"),$A15,INDIRECT("'"&amp;TEXT(B1,"YYYY-MM")&amp;"'!C:C"),"Débito à Vista",INDIRECT("'"&amp;TEXT(B1,"YYYY-MM")&amp;"'!D:D"),B1),0)</f>
        <v>0</v>
      </c>
      <c r="D15" s="11">
        <f ca="1">IFERROR(COUNTIFS(INDIRECT("'"&amp;TEXT(B1,"YYYY-MM")&amp;"'!B:B"),$A15,INDIRECT("'"&amp;TEXT(B1,"YYYY-MM")&amp;"'!C:C"),"Crédito à Vista",INDIRECT("'"&amp;TEXT(B1,"YYYY-MM")&amp;"'!D:D"),B1),0)</f>
        <v>0</v>
      </c>
      <c r="E15" s="12">
        <f ca="1">IFERROR(SUMIFS(INDIRECT("'"&amp;TEXT(B1,"YYYY-MM")&amp;"'!E:E"),INDIRECT("'"&amp;TEXT(B1,"YYYY-MM")&amp;"'!B:B"),$A15,INDIRECT("'"&amp;TEXT(B1,"YYYY-MM")&amp;"'!C:C"),"Crédito à Vista",INDIRECT("'"&amp;TEXT(B1,"YYYY-MM")&amp;"'!D:D"),B1),0)</f>
        <v>0</v>
      </c>
      <c r="F15" s="13" t="s">
        <v>27</v>
      </c>
      <c r="G15" s="13" t="s">
        <v>27</v>
      </c>
      <c r="H15" s="13" t="s">
        <v>27</v>
      </c>
      <c r="I15" s="13" t="s">
        <v>27</v>
      </c>
      <c r="J15" s="14" t="s">
        <v>27</v>
      </c>
      <c r="K15" s="14" t="s">
        <v>27</v>
      </c>
      <c r="L15" s="15" t="s">
        <v>27</v>
      </c>
      <c r="M15" s="15" t="s">
        <v>27</v>
      </c>
      <c r="N15" s="16">
        <f ca="1">IFERROR(B15+D15+F15+H15,0)</f>
        <v>0</v>
      </c>
      <c r="O15" s="17">
        <f ca="1">IFERROR(C15+E15+G15+I15,0)</f>
        <v>0</v>
      </c>
    </row>
    <row r="16" spans="1:15" ht="25.5" customHeight="1">
      <c r="A16" s="18" t="s">
        <v>15</v>
      </c>
      <c r="B16" s="14" t="s">
        <v>27</v>
      </c>
      <c r="C16" s="14" t="s">
        <v>27</v>
      </c>
      <c r="D16" s="15" t="s">
        <v>27</v>
      </c>
      <c r="E16" s="15" t="s">
        <v>27</v>
      </c>
      <c r="F16" s="19">
        <f ca="1">IFERROR(COUNTIFS(INDIRECT("'"&amp;TEXT(B1,"YYYY-MM")&amp;"'!B:B"),$A16,INDIRECT("'"&amp;TEXT(B1,"YYYY-MM")&amp;"'!C:C"),"Sicoob",INDIRECT("'"&amp;TEXT(B1,"YYYY-MM")&amp;"'!D:D"),B1),0)</f>
        <v>0</v>
      </c>
      <c r="G16" s="20">
        <f ca="1">IFERROR(SUMIFS(INDIRECT("'"&amp;TEXT(B1,"YYYY-MM")&amp;"'!E:E"),INDIRECT("'"&amp;TEXT(B1,"YYYY-MM")&amp;"'!B:B"),$A16,INDIRECT("'"&amp;TEXT(B1,"YYYY-MM")&amp;"'!C:C"),"Sicoob",INDIRECT("'"&amp;TEXT(B1,"YYYY-MM")&amp;"'!D:D"),B1),0)</f>
        <v>0</v>
      </c>
      <c r="H16" s="19">
        <f ca="1">IFERROR(COUNTIFS(INDIRECT("'"&amp;TEXT(B1,"YYYY-MM")&amp;"'!B:B"),$A16,INDIRECT("'"&amp;TEXT(B1,"YYYY-MM")&amp;"'!C:C"),"Caixa",INDIRECT("'"&amp;TEXT(B1,"YYYY-MM")&amp;"'!D:D"),B1),0)</f>
        <v>0</v>
      </c>
      <c r="I16" s="20">
        <f ca="1">IFERROR(SUMIFS(INDIRECT("'"&amp;TEXT(B1,"YYYY-MM")&amp;"'!E:E"),INDIRECT("'"&amp;TEXT(B1,"YYYY-MM")&amp;"'!B:B"),$A16,INDIRECT("'"&amp;TEXT(B1,"YYYY-MM")&amp;"'!C:C"),"Caixa",INDIRECT("'"&amp;TEXT(B1,"YYYY-MM")&amp;"'!D:D"),B1),0)</f>
        <v>0</v>
      </c>
      <c r="J16" s="14" t="s">
        <v>27</v>
      </c>
      <c r="K16" s="14" t="s">
        <v>27</v>
      </c>
      <c r="L16" s="15" t="s">
        <v>27</v>
      </c>
      <c r="M16" s="15" t="s">
        <v>27</v>
      </c>
      <c r="N16" s="16">
        <f ca="1">IFERROR(B16+D16+F16+H16,0)</f>
        <v>0</v>
      </c>
      <c r="O16" s="17">
        <f ca="1">IFERROR(C16+E16+G16+I16,0)</f>
        <v>0</v>
      </c>
    </row>
    <row r="17" spans="1:15" ht="24.75" customHeight="1">
      <c r="A17" s="8" t="s">
        <v>28</v>
      </c>
      <c r="B17" s="14" t="s">
        <v>27</v>
      </c>
      <c r="C17" s="14" t="s">
        <v>27</v>
      </c>
      <c r="D17" s="15" t="s">
        <v>27</v>
      </c>
      <c r="E17" s="15" t="s">
        <v>27</v>
      </c>
      <c r="F17" s="13" t="s">
        <v>27</v>
      </c>
      <c r="G17" s="13" t="s">
        <v>27</v>
      </c>
      <c r="H17" s="13" t="s">
        <v>27</v>
      </c>
      <c r="I17" s="13" t="s">
        <v>27</v>
      </c>
      <c r="J17" s="9">
        <v>0</v>
      </c>
      <c r="K17" s="10">
        <v>0</v>
      </c>
      <c r="L17" s="11">
        <v>0</v>
      </c>
      <c r="M17" s="12">
        <v>0</v>
      </c>
      <c r="N17" s="16">
        <f>IFERROR(B17+D17+F17+H17,0)</f>
        <v>0</v>
      </c>
      <c r="O17" s="17">
        <f>IFERROR(C17+E17+G17+I17,0)</f>
        <v>0</v>
      </c>
    </row>
    <row r="18" spans="1:15" ht="30" customHeight="1">
      <c r="A18" s="21" t="s">
        <v>29</v>
      </c>
      <c r="B18" s="22">
        <f ca="1">IFERROR(SUM(B5:B17),0)</f>
        <v>0</v>
      </c>
      <c r="C18" s="23">
        <f ca="1">IFERROR(SUM(C5:C17),0)</f>
        <v>0</v>
      </c>
      <c r="D18" s="22">
        <f ca="1">IFERROR(SUM(D5:D17),0)</f>
        <v>0</v>
      </c>
      <c r="E18" s="23">
        <f ca="1">IFERROR(SUM(E5:E17),0)</f>
        <v>0</v>
      </c>
      <c r="F18" s="22">
        <f ca="1">IFERROR(SUM(F5:F17),0)</f>
        <v>0</v>
      </c>
      <c r="G18" s="23">
        <f ca="1">IFERROR(SUM(G5:G17),0)</f>
        <v>0</v>
      </c>
      <c r="H18" s="22">
        <f ca="1">IFERROR(SUM(H5:H17),0)</f>
        <v>0</v>
      </c>
      <c r="I18" s="23">
        <f ca="1">IFERROR(SUM(I5:I17),0)</f>
        <v>0</v>
      </c>
      <c r="J18" s="22">
        <f>IFERROR(SUM(J5:J17),0)</f>
        <v>0</v>
      </c>
      <c r="K18" s="23">
        <f>IFERROR(SUM(K5:K17),0)</f>
        <v>0</v>
      </c>
      <c r="L18" s="22">
        <f>IFERROR(SUM(L5:L17),0)</f>
        <v>0</v>
      </c>
      <c r="M18" s="23">
        <f>IFERROR(SUM(M5:M17),0)</f>
        <v>0</v>
      </c>
      <c r="N18" s="22">
        <f ca="1">IFERROR(SUM(N5:N17),0)</f>
        <v>0</v>
      </c>
      <c r="O18" s="23">
        <f ca="1">IFERROR(SUM(O5:O17),0)</f>
        <v>0</v>
      </c>
    </row>
    <row r="19" spans="1:15" ht="1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1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1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spans="1:15" ht="1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</row>
  </sheetData>
  <mergeCells count="12">
    <mergeCell ref="F3:G3"/>
    <mergeCell ref="L3:M3"/>
    <mergeCell ref="J3:K3"/>
    <mergeCell ref="B1:E1"/>
    <mergeCell ref="N3:O3"/>
    <mergeCell ref="B3:C3"/>
    <mergeCell ref="F2:I2"/>
    <mergeCell ref="N2:O2"/>
    <mergeCell ref="J2:M2"/>
    <mergeCell ref="B2:E2"/>
    <mergeCell ref="D3:E3"/>
    <mergeCell ref="H3:I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8"/>
  <sheetViews>
    <sheetView showGridLines="0" tabSelected="1" zoomScaleNormal="100" workbookViewId="0">
      <pane xSplit="1" ySplit="4" topLeftCell="B5" activePane="bottomRight" state="frozen"/>
      <selection pane="bottomRight" activeCell="G31" sqref="G31"/>
      <selection pane="bottomLeft" activeCell="A5" sqref="A5"/>
      <selection pane="topRight" activeCell="B1" sqref="B1"/>
    </sheetView>
  </sheetViews>
  <sheetFormatPr defaultColWidth="8.7109375" defaultRowHeight="15"/>
  <cols>
    <col min="1" max="1" width="22" customWidth="1"/>
    <col min="2" max="2" width="6" customWidth="1"/>
    <col min="3" max="3" width="13" customWidth="1"/>
    <col min="4" max="4" width="6" customWidth="1"/>
    <col min="5" max="5" width="13" customWidth="1"/>
    <col min="6" max="6" width="6" customWidth="1"/>
    <col min="7" max="7" width="13" customWidth="1"/>
    <col min="8" max="8" width="6" customWidth="1"/>
    <col min="9" max="9" width="13" customWidth="1"/>
    <col min="10" max="10" width="6" customWidth="1"/>
    <col min="11" max="11" width="13" customWidth="1"/>
    <col min="12" max="12" width="6" customWidth="1"/>
    <col min="13" max="13" width="13" customWidth="1"/>
    <col min="14" max="14" width="6" customWidth="1"/>
    <col min="15" max="15" width="13" customWidth="1"/>
  </cols>
  <sheetData>
    <row r="1" spans="1:15" ht="21" customHeight="1">
      <c r="A1" s="1" t="s">
        <v>30</v>
      </c>
      <c r="B1" s="27">
        <f>Painel!B1</f>
        <v>46149</v>
      </c>
      <c r="C1" s="36"/>
      <c r="D1" s="36"/>
      <c r="E1" s="37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ht="21.75" customHeight="1">
      <c r="A2" s="3"/>
      <c r="B2" s="30" t="s">
        <v>17</v>
      </c>
      <c r="C2" s="36"/>
      <c r="D2" s="36"/>
      <c r="E2" s="37"/>
      <c r="F2" s="29" t="s">
        <v>15</v>
      </c>
      <c r="G2" s="36"/>
      <c r="H2" s="36"/>
      <c r="I2" s="37"/>
      <c r="J2" s="30" t="s">
        <v>18</v>
      </c>
      <c r="K2" s="36"/>
      <c r="L2" s="36"/>
      <c r="M2" s="37"/>
      <c r="N2" s="28" t="s">
        <v>19</v>
      </c>
      <c r="O2" s="36"/>
    </row>
    <row r="3" spans="1:15" ht="18.75" customHeight="1">
      <c r="A3" s="4" t="s">
        <v>20</v>
      </c>
      <c r="B3" s="26" t="s">
        <v>1</v>
      </c>
      <c r="C3" s="37"/>
      <c r="D3" s="26" t="s">
        <v>3</v>
      </c>
      <c r="E3" s="37"/>
      <c r="F3" s="25" t="s">
        <v>5</v>
      </c>
      <c r="G3" s="37"/>
      <c r="H3" s="25" t="s">
        <v>7</v>
      </c>
      <c r="I3" s="37"/>
      <c r="J3" s="26" t="s">
        <v>21</v>
      </c>
      <c r="K3" s="37"/>
      <c r="L3" s="26" t="s">
        <v>22</v>
      </c>
      <c r="M3" s="37"/>
      <c r="N3" s="28" t="s">
        <v>23</v>
      </c>
      <c r="O3" s="36"/>
    </row>
    <row r="4" spans="1:15" ht="15.75" customHeight="1">
      <c r="A4" s="4" t="s">
        <v>24</v>
      </c>
      <c r="B4" s="5" t="s">
        <v>25</v>
      </c>
      <c r="C4" s="5" t="s">
        <v>26</v>
      </c>
      <c r="D4" s="5" t="s">
        <v>25</v>
      </c>
      <c r="E4" s="5" t="s">
        <v>26</v>
      </c>
      <c r="F4" s="6" t="s">
        <v>25</v>
      </c>
      <c r="G4" s="6" t="s">
        <v>26</v>
      </c>
      <c r="H4" s="6" t="s">
        <v>25</v>
      </c>
      <c r="I4" s="6" t="s">
        <v>26</v>
      </c>
      <c r="J4" s="5" t="s">
        <v>25</v>
      </c>
      <c r="K4" s="5" t="s">
        <v>26</v>
      </c>
      <c r="L4" s="5" t="s">
        <v>25</v>
      </c>
      <c r="M4" s="5" t="s">
        <v>26</v>
      </c>
      <c r="N4" s="7" t="s">
        <v>25</v>
      </c>
      <c r="O4" s="7" t="s">
        <v>26</v>
      </c>
    </row>
    <row r="5" spans="1:15" ht="24" customHeight="1">
      <c r="A5" s="8" t="s">
        <v>0</v>
      </c>
      <c r="B5" s="9">
        <f ca="1">IFERROR(COUNTIFS(INDIRECT("'"&amp;TEXT(B1,"YYYY-MM")&amp;"'!B:B"),$A5,INDIRECT("'"&amp;TEXT(B1,"YYYY-MM")&amp;"'!C:C"),"Débito à Vista"),0)</f>
        <v>0</v>
      </c>
      <c r="C5" s="10">
        <f ca="1">IFERROR(SUMIFS(INDIRECT("'"&amp;TEXT(B1,"YYYY-MM")&amp;"'!E:E"),INDIRECT("'"&amp;TEXT(B1,"YYYY-MM")&amp;"'!B:B"),$A5,INDIRECT("'"&amp;TEXT(B1,"YYYY-MM")&amp;"'!C:C"),"Débito à Vista"),0)</f>
        <v>0</v>
      </c>
      <c r="D5" s="11">
        <f ca="1">IFERROR(COUNTIFS(INDIRECT("'"&amp;TEXT(B1,"YYYY-MM")&amp;"'!B:B"),$A5,INDIRECT("'"&amp;TEXT(B1,"YYYY-MM")&amp;"'!C:C"),"Crédito à Vista"),0)</f>
        <v>0</v>
      </c>
      <c r="E5" s="12">
        <f ca="1">IFERROR(SUMIFS(INDIRECT("'"&amp;TEXT(B1,"YYYY-MM")&amp;"'!E:E"),INDIRECT("'"&amp;TEXT(B1,"YYYY-MM")&amp;"'!B:B"),$A5,INDIRECT("'"&amp;TEXT(B1,"YYYY-MM")&amp;"'!C:C"),"Crédito à Vista"),0)</f>
        <v>0</v>
      </c>
      <c r="F5" s="13" t="s">
        <v>27</v>
      </c>
      <c r="G5" s="13" t="s">
        <v>27</v>
      </c>
      <c r="H5" s="13" t="s">
        <v>27</v>
      </c>
      <c r="I5" s="13" t="s">
        <v>27</v>
      </c>
      <c r="J5" s="14" t="s">
        <v>27</v>
      </c>
      <c r="K5" s="14" t="s">
        <v>27</v>
      </c>
      <c r="L5" s="15" t="s">
        <v>27</v>
      </c>
      <c r="M5" s="15" t="s">
        <v>27</v>
      </c>
      <c r="N5" s="16">
        <f ca="1">IFERROR(B5+D5+F5+H5,0)</f>
        <v>0</v>
      </c>
      <c r="O5" s="17">
        <f ca="1">IFERROR(C5+E5+G5+I5,0)</f>
        <v>0</v>
      </c>
    </row>
    <row r="6" spans="1:15" ht="24" customHeight="1">
      <c r="A6" s="18" t="s">
        <v>2</v>
      </c>
      <c r="B6" s="9">
        <f ca="1">IFERROR(COUNTIFS(INDIRECT("'"&amp;TEXT(B1,"YYYY-MM")&amp;"'!B:B"),$A6,INDIRECT("'"&amp;TEXT(B1,"YYYY-MM")&amp;"'!C:C"),"Débito à Vista"),0)</f>
        <v>0</v>
      </c>
      <c r="C6" s="10">
        <f ca="1">IFERROR(SUMIFS(INDIRECT("'"&amp;TEXT(B1,"YYYY-MM")&amp;"'!E:E"),INDIRECT("'"&amp;TEXT(B1,"YYYY-MM")&amp;"'!B:B"),$A6,INDIRECT("'"&amp;TEXT(B1,"YYYY-MM")&amp;"'!C:C"),"Débito à Vista"),0)</f>
        <v>0</v>
      </c>
      <c r="D6" s="11">
        <f ca="1">IFERROR(COUNTIFS(INDIRECT("'"&amp;TEXT(B1,"YYYY-MM")&amp;"'!B:B"),$A6,INDIRECT("'"&amp;TEXT(B1,"YYYY-MM")&amp;"'!C:C"),"Crédito à Vista"),0)</f>
        <v>0</v>
      </c>
      <c r="E6" s="12">
        <f ca="1">IFERROR(SUMIFS(INDIRECT("'"&amp;TEXT(B1,"YYYY-MM")&amp;"'!E:E"),INDIRECT("'"&amp;TEXT(B1,"YYYY-MM")&amp;"'!B:B"),$A6,INDIRECT("'"&amp;TEXT(B1,"YYYY-MM")&amp;"'!C:C"),"Crédito à Vista"),0)</f>
        <v>0</v>
      </c>
      <c r="F6" s="13" t="s">
        <v>27</v>
      </c>
      <c r="G6" s="13" t="s">
        <v>27</v>
      </c>
      <c r="H6" s="13" t="s">
        <v>27</v>
      </c>
      <c r="I6" s="13" t="s">
        <v>27</v>
      </c>
      <c r="J6" s="14" t="s">
        <v>27</v>
      </c>
      <c r="K6" s="14" t="s">
        <v>27</v>
      </c>
      <c r="L6" s="15" t="s">
        <v>27</v>
      </c>
      <c r="M6" s="15" t="s">
        <v>27</v>
      </c>
      <c r="N6" s="16">
        <f ca="1">IFERROR(B6+D6+F6+H6,0)</f>
        <v>0</v>
      </c>
      <c r="O6" s="17">
        <f ca="1">IFERROR(C6+E6+G6+I6,0)</f>
        <v>0</v>
      </c>
    </row>
    <row r="7" spans="1:15" ht="24" customHeight="1">
      <c r="A7" s="8" t="s">
        <v>4</v>
      </c>
      <c r="B7" s="9">
        <f ca="1">IFERROR(COUNTIFS(INDIRECT("'"&amp;TEXT(B1,"YYYY-MM")&amp;"'!B:B"),$A7,INDIRECT("'"&amp;TEXT(B1,"YYYY-MM")&amp;"'!C:C"),"Débito à Vista"),0)</f>
        <v>0</v>
      </c>
      <c r="C7" s="10">
        <f ca="1">IFERROR(SUMIFS(INDIRECT("'"&amp;TEXT(B1,"YYYY-MM")&amp;"'!E:E"),INDIRECT("'"&amp;TEXT(B1,"YYYY-MM")&amp;"'!B:B"),$A7,INDIRECT("'"&amp;TEXT(B1,"YYYY-MM")&amp;"'!C:C"),"Débito à Vista"),0)</f>
        <v>0</v>
      </c>
      <c r="D7" s="11">
        <f ca="1">IFERROR(COUNTIFS(INDIRECT("'"&amp;TEXT(B1,"YYYY-MM")&amp;"'!B:B"),$A7,INDIRECT("'"&amp;TEXT(B1,"YYYY-MM")&amp;"'!C:C"),"Crédito à Vista"),0)</f>
        <v>0</v>
      </c>
      <c r="E7" s="12">
        <f ca="1">IFERROR(SUMIFS(INDIRECT("'"&amp;TEXT(B1,"YYYY-MM")&amp;"'!E:E"),INDIRECT("'"&amp;TEXT(B1,"YYYY-MM")&amp;"'!B:B"),$A7,INDIRECT("'"&amp;TEXT(B1,"YYYY-MM")&amp;"'!C:C"),"Crédito à Vista"),0)</f>
        <v>0</v>
      </c>
      <c r="F7" s="13" t="s">
        <v>27</v>
      </c>
      <c r="G7" s="13" t="s">
        <v>27</v>
      </c>
      <c r="H7" s="13" t="s">
        <v>27</v>
      </c>
      <c r="I7" s="13" t="s">
        <v>27</v>
      </c>
      <c r="J7" s="14" t="s">
        <v>27</v>
      </c>
      <c r="K7" s="14" t="s">
        <v>27</v>
      </c>
      <c r="L7" s="15" t="s">
        <v>27</v>
      </c>
      <c r="M7" s="15" t="s">
        <v>27</v>
      </c>
      <c r="N7" s="16">
        <f ca="1">IFERROR(B7+D7+F7+H7,0)</f>
        <v>0</v>
      </c>
      <c r="O7" s="17">
        <f ca="1">IFERROR(C7+E7+G7+I7,0)</f>
        <v>0</v>
      </c>
    </row>
    <row r="8" spans="1:15" ht="24" customHeight="1">
      <c r="A8" s="18" t="s">
        <v>6</v>
      </c>
      <c r="B8" s="9">
        <f ca="1">IFERROR(COUNTIFS(INDIRECT("'"&amp;TEXT(B1,"YYYY-MM")&amp;"'!B:B"),$A8,INDIRECT("'"&amp;TEXT(B1,"YYYY-MM")&amp;"'!C:C"),"Débito à Vista"),0)</f>
        <v>0</v>
      </c>
      <c r="C8" s="10">
        <f ca="1">IFERROR(SUMIFS(INDIRECT("'"&amp;TEXT(B1,"YYYY-MM")&amp;"'!E:E"),INDIRECT("'"&amp;TEXT(B1,"YYYY-MM")&amp;"'!B:B"),$A8,INDIRECT("'"&amp;TEXT(B1,"YYYY-MM")&amp;"'!C:C"),"Débito à Vista"),0)</f>
        <v>0</v>
      </c>
      <c r="D8" s="11">
        <f ca="1">IFERROR(COUNTIFS(INDIRECT("'"&amp;TEXT(B1,"YYYY-MM")&amp;"'!B:B"),$A8,INDIRECT("'"&amp;TEXT(B1,"YYYY-MM")&amp;"'!C:C"),"Crédito à Vista"),0)</f>
        <v>0</v>
      </c>
      <c r="E8" s="12">
        <f ca="1">IFERROR(SUMIFS(INDIRECT("'"&amp;TEXT(B1,"YYYY-MM")&amp;"'!E:E"),INDIRECT("'"&amp;TEXT(B1,"YYYY-MM")&amp;"'!B:B"),$A8,INDIRECT("'"&amp;TEXT(B1,"YYYY-MM")&amp;"'!C:C"),"Crédito à Vista"),0)</f>
        <v>0</v>
      </c>
      <c r="F8" s="13" t="s">
        <v>27</v>
      </c>
      <c r="G8" s="13" t="s">
        <v>27</v>
      </c>
      <c r="H8" s="13" t="s">
        <v>27</v>
      </c>
      <c r="I8" s="13" t="s">
        <v>27</v>
      </c>
      <c r="J8" s="14" t="s">
        <v>27</v>
      </c>
      <c r="K8" s="14" t="s">
        <v>27</v>
      </c>
      <c r="L8" s="15" t="s">
        <v>27</v>
      </c>
      <c r="M8" s="15" t="s">
        <v>27</v>
      </c>
      <c r="N8" s="16">
        <f ca="1">IFERROR(B8+D8+F8+H8,0)</f>
        <v>0</v>
      </c>
      <c r="O8" s="17">
        <f ca="1">IFERROR(C8+E8+G8+I8,0)</f>
        <v>0</v>
      </c>
    </row>
    <row r="9" spans="1:15" ht="24" customHeight="1">
      <c r="A9" s="8" t="s">
        <v>8</v>
      </c>
      <c r="B9" s="9">
        <f ca="1">IFERROR(COUNTIFS(INDIRECT("'"&amp;TEXT(B1,"YYYY-MM")&amp;"'!B:B"),$A9,INDIRECT("'"&amp;TEXT(B1,"YYYY-MM")&amp;"'!C:C"),"Débito à Vista"),0)</f>
        <v>0</v>
      </c>
      <c r="C9" s="10">
        <f ca="1">IFERROR(SUMIFS(INDIRECT("'"&amp;TEXT(B1,"YYYY-MM")&amp;"'!E:E"),INDIRECT("'"&amp;TEXT(B1,"YYYY-MM")&amp;"'!B:B"),$A9,INDIRECT("'"&amp;TEXT(B1,"YYYY-MM")&amp;"'!C:C"),"Débito à Vista"),0)</f>
        <v>0</v>
      </c>
      <c r="D9" s="11">
        <f ca="1">IFERROR(COUNTIFS(INDIRECT("'"&amp;TEXT(B1,"YYYY-MM")&amp;"'!B:B"),$A9,INDIRECT("'"&amp;TEXT(B1,"YYYY-MM")&amp;"'!C:C"),"Crédito à Vista"),0)</f>
        <v>0</v>
      </c>
      <c r="E9" s="12">
        <f ca="1">IFERROR(SUMIFS(INDIRECT("'"&amp;TEXT(B1,"YYYY-MM")&amp;"'!E:E"),INDIRECT("'"&amp;TEXT(B1,"YYYY-MM")&amp;"'!B:B"),$A9,INDIRECT("'"&amp;TEXT(B1,"YYYY-MM")&amp;"'!C:C"),"Crédito à Vista"),0)</f>
        <v>0</v>
      </c>
      <c r="F9" s="13" t="s">
        <v>27</v>
      </c>
      <c r="G9" s="13" t="s">
        <v>27</v>
      </c>
      <c r="H9" s="13" t="s">
        <v>27</v>
      </c>
      <c r="I9" s="13" t="s">
        <v>27</v>
      </c>
      <c r="J9" s="14" t="s">
        <v>27</v>
      </c>
      <c r="K9" s="14" t="s">
        <v>27</v>
      </c>
      <c r="L9" s="15" t="s">
        <v>27</v>
      </c>
      <c r="M9" s="15" t="s">
        <v>27</v>
      </c>
      <c r="N9" s="16">
        <f ca="1">IFERROR(B9+D9+F9+H9,0)</f>
        <v>0</v>
      </c>
      <c r="O9" s="17">
        <f ca="1">IFERROR(C9+E9+G9+I9,0)</f>
        <v>0</v>
      </c>
    </row>
    <row r="10" spans="1:15" ht="24" customHeight="1">
      <c r="A10" s="18" t="s">
        <v>9</v>
      </c>
      <c r="B10" s="9">
        <f ca="1">IFERROR(COUNTIFS(INDIRECT("'"&amp;TEXT(B1,"YYYY-MM")&amp;"'!B:B"),$A10,INDIRECT("'"&amp;TEXT(B1,"YYYY-MM")&amp;"'!C:C"),"Débito à Vista"),0)</f>
        <v>0</v>
      </c>
      <c r="C10" s="10">
        <f ca="1">IFERROR(SUMIFS(INDIRECT("'"&amp;TEXT(B1,"YYYY-MM")&amp;"'!E:E"),INDIRECT("'"&amp;TEXT(B1,"YYYY-MM")&amp;"'!B:B"),$A10,INDIRECT("'"&amp;TEXT(B1,"YYYY-MM")&amp;"'!C:C"),"Débito à Vista"),0)</f>
        <v>0</v>
      </c>
      <c r="D10" s="11">
        <f ca="1">IFERROR(COUNTIFS(INDIRECT("'"&amp;TEXT(B1,"YYYY-MM")&amp;"'!B:B"),$A10,INDIRECT("'"&amp;TEXT(B1,"YYYY-MM")&amp;"'!C:C"),"Crédito à Vista"),0)</f>
        <v>0</v>
      </c>
      <c r="E10" s="12">
        <f ca="1">IFERROR(SUMIFS(INDIRECT("'"&amp;TEXT(B1,"YYYY-MM")&amp;"'!E:E"),INDIRECT("'"&amp;TEXT(B1,"YYYY-MM")&amp;"'!B:B"),$A10,INDIRECT("'"&amp;TEXT(B1,"YYYY-MM")&amp;"'!C:C"),"Crédito à Vista"),0)</f>
        <v>0</v>
      </c>
      <c r="F10" s="13" t="s">
        <v>27</v>
      </c>
      <c r="G10" s="13" t="s">
        <v>27</v>
      </c>
      <c r="H10" s="13" t="s">
        <v>27</v>
      </c>
      <c r="I10" s="13" t="s">
        <v>27</v>
      </c>
      <c r="J10" s="14" t="s">
        <v>27</v>
      </c>
      <c r="K10" s="14" t="s">
        <v>27</v>
      </c>
      <c r="L10" s="15" t="s">
        <v>27</v>
      </c>
      <c r="M10" s="15" t="s">
        <v>27</v>
      </c>
      <c r="N10" s="16">
        <f ca="1">IFERROR(B10+D10+F10+H10,0)</f>
        <v>0</v>
      </c>
      <c r="O10" s="17">
        <f ca="1">IFERROR(C10+E10+G10+I10,0)</f>
        <v>0</v>
      </c>
    </row>
    <row r="11" spans="1:15" ht="24" customHeight="1">
      <c r="A11" s="8" t="s">
        <v>10</v>
      </c>
      <c r="B11" s="9">
        <f ca="1">IFERROR(COUNTIFS(INDIRECT("'"&amp;TEXT(B1,"YYYY-MM")&amp;"'!B:B"),$A11,INDIRECT("'"&amp;TEXT(B1,"YYYY-MM")&amp;"'!C:C"),"Débito à Vista"),0)</f>
        <v>0</v>
      </c>
      <c r="C11" s="10">
        <f ca="1">IFERROR(SUMIFS(INDIRECT("'"&amp;TEXT(B1,"YYYY-MM")&amp;"'!E:E"),INDIRECT("'"&amp;TEXT(B1,"YYYY-MM")&amp;"'!B:B"),$A11,INDIRECT("'"&amp;TEXT(B1,"YYYY-MM")&amp;"'!C:C"),"Débito à Vista"),0)</f>
        <v>0</v>
      </c>
      <c r="D11" s="11">
        <f ca="1">IFERROR(COUNTIFS(INDIRECT("'"&amp;TEXT(B1,"YYYY-MM")&amp;"'!B:B"),$A11,INDIRECT("'"&amp;TEXT(B1,"YYYY-MM")&amp;"'!C:C"),"Crédito à Vista"),0)</f>
        <v>0</v>
      </c>
      <c r="E11" s="12">
        <f ca="1">IFERROR(SUMIFS(INDIRECT("'"&amp;TEXT(B1,"YYYY-MM")&amp;"'!E:E"),INDIRECT("'"&amp;TEXT(B1,"YYYY-MM")&amp;"'!B:B"),$A11,INDIRECT("'"&amp;TEXT(B1,"YYYY-MM")&amp;"'!C:C"),"Crédito à Vista"),0)</f>
        <v>0</v>
      </c>
      <c r="F11" s="13" t="s">
        <v>27</v>
      </c>
      <c r="G11" s="13" t="s">
        <v>27</v>
      </c>
      <c r="H11" s="13" t="s">
        <v>27</v>
      </c>
      <c r="I11" s="13" t="s">
        <v>27</v>
      </c>
      <c r="J11" s="14" t="s">
        <v>27</v>
      </c>
      <c r="K11" s="14" t="s">
        <v>27</v>
      </c>
      <c r="L11" s="15" t="s">
        <v>27</v>
      </c>
      <c r="M11" s="15" t="s">
        <v>27</v>
      </c>
      <c r="N11" s="16">
        <f ca="1">IFERROR(B11+D11+F11+H11,0)</f>
        <v>0</v>
      </c>
      <c r="O11" s="17">
        <f ca="1">IFERROR(C11+E11+G11+I11,0)</f>
        <v>0</v>
      </c>
    </row>
    <row r="12" spans="1:15" ht="24" customHeight="1">
      <c r="A12" s="18" t="s">
        <v>11</v>
      </c>
      <c r="B12" s="9">
        <f ca="1">IFERROR(COUNTIFS(INDIRECT("'"&amp;TEXT(B1,"YYYY-MM")&amp;"'!B:B"),$A12,INDIRECT("'"&amp;TEXT(B1,"YYYY-MM")&amp;"'!C:C"),"Débito à Vista"),0)</f>
        <v>0</v>
      </c>
      <c r="C12" s="10">
        <f ca="1">IFERROR(SUMIFS(INDIRECT("'"&amp;TEXT(B1,"YYYY-MM")&amp;"'!E:E"),INDIRECT("'"&amp;TEXT(B1,"YYYY-MM")&amp;"'!B:B"),$A12,INDIRECT("'"&amp;TEXT(B1,"YYYY-MM")&amp;"'!C:C"),"Débito à Vista"),0)</f>
        <v>0</v>
      </c>
      <c r="D12" s="11">
        <f ca="1">IFERROR(COUNTIFS(INDIRECT("'"&amp;TEXT(B1,"YYYY-MM")&amp;"'!B:B"),$A12,INDIRECT("'"&amp;TEXT(B1,"YYYY-MM")&amp;"'!C:C"),"Crédito à Vista"),0)</f>
        <v>0</v>
      </c>
      <c r="E12" s="12">
        <f ca="1">IFERROR(SUMIFS(INDIRECT("'"&amp;TEXT(B1,"YYYY-MM")&amp;"'!E:E"),INDIRECT("'"&amp;TEXT(B1,"YYYY-MM")&amp;"'!B:B"),$A12,INDIRECT("'"&amp;TEXT(B1,"YYYY-MM")&amp;"'!C:C"),"Crédito à Vista"),0)</f>
        <v>0</v>
      </c>
      <c r="F12" s="13" t="s">
        <v>27</v>
      </c>
      <c r="G12" s="13" t="s">
        <v>27</v>
      </c>
      <c r="H12" s="13" t="s">
        <v>27</v>
      </c>
      <c r="I12" s="13" t="s">
        <v>27</v>
      </c>
      <c r="J12" s="14" t="s">
        <v>27</v>
      </c>
      <c r="K12" s="14" t="s">
        <v>27</v>
      </c>
      <c r="L12" s="15" t="s">
        <v>27</v>
      </c>
      <c r="M12" s="15" t="s">
        <v>27</v>
      </c>
      <c r="N12" s="16">
        <f ca="1">IFERROR(B12+D12+F12+H12,0)</f>
        <v>0</v>
      </c>
      <c r="O12" s="17">
        <f ca="1">IFERROR(C12+E12+G12+I12,0)</f>
        <v>0</v>
      </c>
    </row>
    <row r="13" spans="1:15" ht="24" customHeight="1">
      <c r="A13" s="8" t="s">
        <v>12</v>
      </c>
      <c r="B13" s="9">
        <f ca="1">IFERROR(COUNTIFS(INDIRECT("'"&amp;TEXT(B1,"YYYY-MM")&amp;"'!B:B"),$A13,INDIRECT("'"&amp;TEXT(B1,"YYYY-MM")&amp;"'!C:C"),"Débito à Vista"),0)</f>
        <v>0</v>
      </c>
      <c r="C13" s="10">
        <f ca="1">IFERROR(SUMIFS(INDIRECT("'"&amp;TEXT(B1,"YYYY-MM")&amp;"'!E:E"),INDIRECT("'"&amp;TEXT(B1,"YYYY-MM")&amp;"'!B:B"),$A13,INDIRECT("'"&amp;TEXT(B1,"YYYY-MM")&amp;"'!C:C"),"Débito à Vista"),0)</f>
        <v>0</v>
      </c>
      <c r="D13" s="11">
        <f ca="1">IFERROR(COUNTIFS(INDIRECT("'"&amp;TEXT(B1,"YYYY-MM")&amp;"'!B:B"),$A13,INDIRECT("'"&amp;TEXT(B1,"YYYY-MM")&amp;"'!C:C"),"Crédito à Vista"),0)</f>
        <v>0</v>
      </c>
      <c r="E13" s="12">
        <f ca="1">IFERROR(SUMIFS(INDIRECT("'"&amp;TEXT(B1,"YYYY-MM")&amp;"'!E:E"),INDIRECT("'"&amp;TEXT(B1,"YYYY-MM")&amp;"'!B:B"),$A13,INDIRECT("'"&amp;TEXT(B1,"YYYY-MM")&amp;"'!C:C"),"Crédito à Vista"),0)</f>
        <v>0</v>
      </c>
      <c r="F13" s="13" t="s">
        <v>27</v>
      </c>
      <c r="G13" s="13" t="s">
        <v>27</v>
      </c>
      <c r="H13" s="13" t="s">
        <v>27</v>
      </c>
      <c r="I13" s="13" t="s">
        <v>27</v>
      </c>
      <c r="J13" s="14" t="s">
        <v>27</v>
      </c>
      <c r="K13" s="14" t="s">
        <v>27</v>
      </c>
      <c r="L13" s="15" t="s">
        <v>27</v>
      </c>
      <c r="M13" s="15" t="s">
        <v>27</v>
      </c>
      <c r="N13" s="16">
        <f ca="1">IFERROR(B13+D13+F13+H13,0)</f>
        <v>0</v>
      </c>
      <c r="O13" s="17">
        <f ca="1">IFERROR(C13+E13+G13+I13,0)</f>
        <v>0</v>
      </c>
    </row>
    <row r="14" spans="1:15" ht="24" customHeight="1">
      <c r="A14" s="18" t="s">
        <v>13</v>
      </c>
      <c r="B14" s="9">
        <f ca="1">IFERROR(COUNTIFS(INDIRECT("'"&amp;TEXT(B1,"YYYY-MM")&amp;"'!B:B"),$A14,INDIRECT("'"&amp;TEXT(B1,"YYYY-MM")&amp;"'!C:C"),"Débito à Vista"),0)</f>
        <v>0</v>
      </c>
      <c r="C14" s="10">
        <f ca="1">IFERROR(SUMIFS(INDIRECT("'"&amp;TEXT(B1,"YYYY-MM")&amp;"'!E:E"),INDIRECT("'"&amp;TEXT(B1,"YYYY-MM")&amp;"'!B:B"),$A14,INDIRECT("'"&amp;TEXT(B1,"YYYY-MM")&amp;"'!C:C"),"Débito à Vista"),0)</f>
        <v>0</v>
      </c>
      <c r="D14" s="11">
        <f ca="1">IFERROR(COUNTIFS(INDIRECT("'"&amp;TEXT(B1,"YYYY-MM")&amp;"'!B:B"),$A14,INDIRECT("'"&amp;TEXT(B1,"YYYY-MM")&amp;"'!C:C"),"Crédito à Vista"),0)</f>
        <v>0</v>
      </c>
      <c r="E14" s="12">
        <f ca="1">IFERROR(SUMIFS(INDIRECT("'"&amp;TEXT(B1,"YYYY-MM")&amp;"'!E:E"),INDIRECT("'"&amp;TEXT(B1,"YYYY-MM")&amp;"'!B:B"),$A14,INDIRECT("'"&amp;TEXT(B1,"YYYY-MM")&amp;"'!C:C"),"Crédito à Vista"),0)</f>
        <v>0</v>
      </c>
      <c r="F14" s="13" t="s">
        <v>27</v>
      </c>
      <c r="G14" s="13" t="s">
        <v>27</v>
      </c>
      <c r="H14" s="13" t="s">
        <v>27</v>
      </c>
      <c r="I14" s="13" t="s">
        <v>27</v>
      </c>
      <c r="J14" s="14" t="s">
        <v>27</v>
      </c>
      <c r="K14" s="14" t="s">
        <v>27</v>
      </c>
      <c r="L14" s="15" t="s">
        <v>27</v>
      </c>
      <c r="M14" s="15" t="s">
        <v>27</v>
      </c>
      <c r="N14" s="16">
        <f ca="1">IFERROR(B14+D14+F14+H14,0)</f>
        <v>0</v>
      </c>
      <c r="O14" s="17">
        <f ca="1">IFERROR(C14+E14+G14+I14,0)</f>
        <v>0</v>
      </c>
    </row>
    <row r="15" spans="1:15" ht="24" customHeight="1">
      <c r="A15" s="8" t="s">
        <v>14</v>
      </c>
      <c r="B15" s="9">
        <f ca="1">IFERROR(COUNTIFS(INDIRECT("'"&amp;TEXT(B1,"YYYY-MM")&amp;"'!B:B"),$A15,INDIRECT("'"&amp;TEXT(B1,"YYYY-MM")&amp;"'!C:C"),"Débito à Vista"),0)</f>
        <v>0</v>
      </c>
      <c r="C15" s="10">
        <f ca="1">IFERROR(SUMIFS(INDIRECT("'"&amp;TEXT(B1,"YYYY-MM")&amp;"'!E:E"),INDIRECT("'"&amp;TEXT(B1,"YYYY-MM")&amp;"'!B:B"),$A15,INDIRECT("'"&amp;TEXT(B1,"YYYY-MM")&amp;"'!C:C"),"Débito à Vista"),0)</f>
        <v>0</v>
      </c>
      <c r="D15" s="11">
        <f ca="1">IFERROR(COUNTIFS(INDIRECT("'"&amp;TEXT(B1,"YYYY-MM")&amp;"'!B:B"),$A15,INDIRECT("'"&amp;TEXT(B1,"YYYY-MM")&amp;"'!C:C"),"Crédito à Vista"),0)</f>
        <v>0</v>
      </c>
      <c r="E15" s="12">
        <f ca="1">IFERROR(SUMIFS(INDIRECT("'"&amp;TEXT(B1,"YYYY-MM")&amp;"'!E:E"),INDIRECT("'"&amp;TEXT(B1,"YYYY-MM")&amp;"'!B:B"),$A15,INDIRECT("'"&amp;TEXT(B1,"YYYY-MM")&amp;"'!C:C"),"Crédito à Vista"),0)</f>
        <v>0</v>
      </c>
      <c r="F15" s="13" t="s">
        <v>27</v>
      </c>
      <c r="G15" s="13" t="s">
        <v>27</v>
      </c>
      <c r="H15" s="13" t="s">
        <v>27</v>
      </c>
      <c r="I15" s="13" t="s">
        <v>27</v>
      </c>
      <c r="J15" s="14" t="s">
        <v>27</v>
      </c>
      <c r="K15" s="14" t="s">
        <v>27</v>
      </c>
      <c r="L15" s="15" t="s">
        <v>27</v>
      </c>
      <c r="M15" s="15" t="s">
        <v>27</v>
      </c>
      <c r="N15" s="16">
        <f ca="1">IFERROR(B15+D15+F15+H15,0)</f>
        <v>0</v>
      </c>
      <c r="O15" s="17">
        <f ca="1">IFERROR(C15+E15+G15+I15,0)</f>
        <v>0</v>
      </c>
    </row>
    <row r="16" spans="1:15" ht="25.5" customHeight="1">
      <c r="A16" s="18" t="s">
        <v>15</v>
      </c>
      <c r="B16" s="14" t="s">
        <v>27</v>
      </c>
      <c r="C16" s="14" t="s">
        <v>27</v>
      </c>
      <c r="D16" s="15" t="s">
        <v>27</v>
      </c>
      <c r="E16" s="15" t="s">
        <v>27</v>
      </c>
      <c r="F16" s="19">
        <f ca="1">IFERROR(COUNTIFS(INDIRECT("'"&amp;TEXT(B1,"YYYY-MM")&amp;"'!B:B"),$A16,INDIRECT("'"&amp;TEXT(B1,"YYYY-MM")&amp;"'!C:C"),"Sicoob"),0)</f>
        <v>0</v>
      </c>
      <c r="G16" s="20">
        <f ca="1">IFERROR(SUMIFS(INDIRECT("'"&amp;TEXT(B1,"YYYY-MM")&amp;"'!E:E"),INDIRECT("'"&amp;TEXT(B1,"YYYY-MM")&amp;"'!B:B"),$A16,INDIRECT("'"&amp;TEXT(B1,"YYYY-MM")&amp;"'!C:C"),"Sicoob"),0)</f>
        <v>0</v>
      </c>
      <c r="H16" s="19">
        <f ca="1">IFERROR(COUNTIFS(INDIRECT("'"&amp;TEXT(B1,"YYYY-MM")&amp;"'!B:B"),$A16,INDIRECT("'"&amp;TEXT(B1,"YYYY-MM")&amp;"'!C:C"),"Caixa"),0)</f>
        <v>0</v>
      </c>
      <c r="I16" s="20">
        <f ca="1">IFERROR(SUMIFS(INDIRECT("'"&amp;TEXT(B1,"YYYY-MM")&amp;"'!E:E"),INDIRECT("'"&amp;TEXT(B1,"YYYY-MM")&amp;"'!B:B"),$A16,INDIRECT("'"&amp;TEXT(B1,"YYYY-MM")&amp;"'!C:C"),"Caixa"),0)</f>
        <v>0</v>
      </c>
      <c r="J16" s="14" t="s">
        <v>27</v>
      </c>
      <c r="K16" s="14" t="s">
        <v>27</v>
      </c>
      <c r="L16" s="15" t="s">
        <v>27</v>
      </c>
      <c r="M16" s="15" t="s">
        <v>27</v>
      </c>
      <c r="N16" s="16">
        <f ca="1">IFERROR(B16+D16+F16+H16,0)</f>
        <v>0</v>
      </c>
      <c r="O16" s="17">
        <f ca="1">IFERROR(C16+E16+G16+I16,0)</f>
        <v>0</v>
      </c>
    </row>
    <row r="17" spans="1:15" ht="24.75" customHeight="1">
      <c r="A17" s="8" t="s">
        <v>28</v>
      </c>
      <c r="B17" s="14" t="s">
        <v>27</v>
      </c>
      <c r="C17" s="14" t="s">
        <v>27</v>
      </c>
      <c r="D17" s="15" t="s">
        <v>27</v>
      </c>
      <c r="E17" s="15" t="s">
        <v>27</v>
      </c>
      <c r="F17" s="13" t="s">
        <v>27</v>
      </c>
      <c r="G17" s="13" t="s">
        <v>27</v>
      </c>
      <c r="H17" s="13" t="s">
        <v>27</v>
      </c>
      <c r="I17" s="13" t="s">
        <v>27</v>
      </c>
      <c r="J17" s="9">
        <v>0</v>
      </c>
      <c r="K17" s="10">
        <v>0</v>
      </c>
      <c r="L17" s="11">
        <v>0</v>
      </c>
      <c r="M17" s="12">
        <v>0</v>
      </c>
      <c r="N17" s="16">
        <f>IFERROR(B17+D17+F17+H17,0)</f>
        <v>0</v>
      </c>
      <c r="O17" s="17">
        <f>IFERROR(C17+E17+G17+I17,0)</f>
        <v>0</v>
      </c>
    </row>
    <row r="18" spans="1:15" ht="30" customHeight="1">
      <c r="A18" s="21" t="s">
        <v>31</v>
      </c>
      <c r="B18" s="22">
        <f ca="1">IFERROR(SUM(B5:B17),0)</f>
        <v>0</v>
      </c>
      <c r="C18" s="23">
        <f ca="1">IFERROR(SUM(C5:C17),0)</f>
        <v>0</v>
      </c>
      <c r="D18" s="22">
        <f ca="1">IFERROR(SUM(D5:D17),0)</f>
        <v>0</v>
      </c>
      <c r="E18" s="23">
        <f ca="1">IFERROR(SUM(E5:E17),0)</f>
        <v>0</v>
      </c>
      <c r="F18" s="22">
        <f ca="1">IFERROR(SUM(F5:F17),0)</f>
        <v>0</v>
      </c>
      <c r="G18" s="23">
        <f ca="1">IFERROR(SUM(G5:G17),0)</f>
        <v>0</v>
      </c>
      <c r="H18" s="22">
        <f ca="1">IFERROR(SUM(H5:H17),0)</f>
        <v>0</v>
      </c>
      <c r="I18" s="23">
        <f ca="1">IFERROR(SUM(I5:I17),0)</f>
        <v>0</v>
      </c>
      <c r="J18" s="22">
        <f>IFERROR(SUM(J5:J17),0)</f>
        <v>0</v>
      </c>
      <c r="K18" s="23">
        <f>IFERROR(SUM(K5:K17),0)</f>
        <v>0</v>
      </c>
      <c r="L18" s="22">
        <f>IFERROR(SUM(L5:L17),0)</f>
        <v>0</v>
      </c>
      <c r="M18" s="23">
        <f>IFERROR(SUM(M5:M17),0)</f>
        <v>0</v>
      </c>
      <c r="N18" s="22">
        <f ca="1">IFERROR(SUM(N5:N17),0)</f>
        <v>0</v>
      </c>
      <c r="O18" s="23">
        <f ca="1">IFERROR(SUM(O5:O17),0)</f>
        <v>0</v>
      </c>
    </row>
  </sheetData>
  <mergeCells count="12">
    <mergeCell ref="F3:G3"/>
    <mergeCell ref="L3:M3"/>
    <mergeCell ref="J3:K3"/>
    <mergeCell ref="B1:E1"/>
    <mergeCell ref="N3:O3"/>
    <mergeCell ref="B3:C3"/>
    <mergeCell ref="F2:I2"/>
    <mergeCell ref="N2:O2"/>
    <mergeCell ref="J2:M2"/>
    <mergeCell ref="B2:E2"/>
    <mergeCell ref="D3:E3"/>
    <mergeCell ref="H3:I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Rafael Xavier Oliveira</cp:lastModifiedBy>
  <cp:revision>0</cp:revision>
  <dcterms:created xsi:type="dcterms:W3CDTF">2026-05-10T01:28:14Z</dcterms:created>
  <dcterms:modified xsi:type="dcterms:W3CDTF">2026-05-13T18:06:35Z</dcterms:modified>
  <cp:category/>
  <cp:contentStatus/>
</cp:coreProperties>
</file>