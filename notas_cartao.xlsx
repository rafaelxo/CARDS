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xr:revisionPtr revIDLastSave="101" documentId="11_D8916EFAAAE5930F4A05E15FE75F0495871E74BE" xr6:coauthVersionLast="47" xr6:coauthVersionMax="47" xr10:uidLastSave="{BF7F7784-ED7C-4B6D-A0BA-A9993AA52779}"/>
  <bookViews>
    <workbookView xWindow="0" yWindow="0" windowWidth="16384" windowHeight="8192" tabRatio="500" firstSheet="1" activeTab="1" xr2:uid="{00000000-000D-0000-FFFF-FFFF00000000}"/>
  </bookViews>
  <sheets>
    <sheet name="Config" sheetId="1" state="hidden" r:id="rId1"/>
    <sheet name="Painel" sheetId="2" r:id="rId2"/>
    <sheet name="2026-05" sheetId="3" r:id="rId3"/>
  </sheets>
  <definedNames>
    <definedName name="ListaBandeiras">Config!$A$1:$A$16</definedName>
    <definedName name="ListaTipos">Config!$B$1:$B$4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2" l="1"/>
  <c r="L21" i="2"/>
  <c r="K21" i="2"/>
  <c r="J21" i="2"/>
  <c r="I21" i="2"/>
  <c r="H21" i="2"/>
  <c r="G21" i="2"/>
  <c r="F21" i="2"/>
  <c r="E21" i="2"/>
  <c r="D21" i="2"/>
  <c r="C21" i="2"/>
  <c r="O21" i="2" s="1"/>
  <c r="B21" i="2"/>
  <c r="N21" i="2" s="1"/>
  <c r="M23" i="2"/>
  <c r="L23" i="2"/>
  <c r="K23" i="2"/>
  <c r="J23" i="2"/>
  <c r="M20" i="2"/>
  <c r="L20" i="2"/>
  <c r="K20" i="2"/>
  <c r="J20" i="2"/>
  <c r="M19" i="2"/>
  <c r="L19" i="2"/>
  <c r="K19" i="2"/>
  <c r="J19" i="2"/>
  <c r="M18" i="2"/>
  <c r="L18" i="2"/>
  <c r="K18" i="2"/>
  <c r="J18" i="2"/>
  <c r="M17" i="2"/>
  <c r="L17" i="2"/>
  <c r="K17" i="2"/>
  <c r="J17" i="2"/>
  <c r="M16" i="2"/>
  <c r="L16" i="2"/>
  <c r="K16" i="2"/>
  <c r="J16" i="2"/>
  <c r="M15" i="2"/>
  <c r="L15" i="2"/>
  <c r="K15" i="2"/>
  <c r="J15" i="2"/>
  <c r="M14" i="2"/>
  <c r="L14" i="2"/>
  <c r="K14" i="2"/>
  <c r="J14" i="2"/>
  <c r="M13" i="2"/>
  <c r="L13" i="2"/>
  <c r="K13" i="2"/>
  <c r="J13" i="2"/>
  <c r="M12" i="2"/>
  <c r="L12" i="2"/>
  <c r="K12" i="2"/>
  <c r="J12" i="2"/>
  <c r="M11" i="2"/>
  <c r="L11" i="2"/>
  <c r="K11" i="2"/>
  <c r="J11" i="2"/>
  <c r="M10" i="2"/>
  <c r="L10" i="2"/>
  <c r="K10" i="2"/>
  <c r="J10" i="2"/>
  <c r="M9" i="2"/>
  <c r="L9" i="2"/>
  <c r="K9" i="2"/>
  <c r="J9" i="2"/>
  <c r="M8" i="2"/>
  <c r="L8" i="2"/>
  <c r="K8" i="2"/>
  <c r="J8" i="2"/>
  <c r="M7" i="2"/>
  <c r="L7" i="2"/>
  <c r="K7" i="2"/>
  <c r="J7" i="2"/>
  <c r="M6" i="2"/>
  <c r="L6" i="2"/>
  <c r="K6" i="2"/>
  <c r="J6" i="2"/>
  <c r="M5" i="2"/>
  <c r="M22" i="2" s="1"/>
  <c r="L5" i="2"/>
  <c r="L22" i="2" s="1"/>
  <c r="K5" i="2"/>
  <c r="K22" i="2" s="1"/>
  <c r="J5" i="2"/>
  <c r="J22" i="2" s="1"/>
  <c r="F5" i="2"/>
  <c r="F6" i="2"/>
  <c r="E13" i="3"/>
  <c r="E4" i="3"/>
  <c r="I23" i="2" l="1"/>
  <c r="H23" i="2"/>
  <c r="G23" i="2"/>
  <c r="F23" i="2"/>
  <c r="E23" i="2"/>
  <c r="D23" i="2"/>
  <c r="C23" i="2"/>
  <c r="O23" i="2" s="1"/>
  <c r="B23" i="2"/>
  <c r="N23" i="2" s="1"/>
  <c r="I20" i="2"/>
  <c r="H20" i="2"/>
  <c r="G20" i="2"/>
  <c r="F20" i="2"/>
  <c r="E20" i="2"/>
  <c r="D20" i="2"/>
  <c r="C20" i="2"/>
  <c r="O20" i="2" s="1"/>
  <c r="B20" i="2"/>
  <c r="N20" i="2" s="1"/>
  <c r="I19" i="2"/>
  <c r="H19" i="2"/>
  <c r="G19" i="2"/>
  <c r="F19" i="2"/>
  <c r="E19" i="2"/>
  <c r="D19" i="2"/>
  <c r="C19" i="2"/>
  <c r="O19" i="2" s="1"/>
  <c r="B19" i="2"/>
  <c r="N19" i="2" s="1"/>
  <c r="I18" i="2"/>
  <c r="H18" i="2"/>
  <c r="G18" i="2"/>
  <c r="F18" i="2"/>
  <c r="E18" i="2"/>
  <c r="D18" i="2"/>
  <c r="C18" i="2"/>
  <c r="O18" i="2" s="1"/>
  <c r="B18" i="2"/>
  <c r="N18" i="2" s="1"/>
  <c r="I17" i="2"/>
  <c r="H17" i="2"/>
  <c r="G17" i="2"/>
  <c r="F17" i="2"/>
  <c r="E17" i="2"/>
  <c r="D17" i="2"/>
  <c r="C17" i="2"/>
  <c r="O17" i="2" s="1"/>
  <c r="B17" i="2"/>
  <c r="N17" i="2" s="1"/>
  <c r="I16" i="2"/>
  <c r="H16" i="2"/>
  <c r="G16" i="2"/>
  <c r="F16" i="2"/>
  <c r="E16" i="2"/>
  <c r="D16" i="2"/>
  <c r="C16" i="2"/>
  <c r="O16" i="2" s="1"/>
  <c r="B16" i="2"/>
  <c r="N16" i="2" s="1"/>
  <c r="I15" i="2"/>
  <c r="H15" i="2"/>
  <c r="G15" i="2"/>
  <c r="F15" i="2"/>
  <c r="E15" i="2"/>
  <c r="D15" i="2"/>
  <c r="C15" i="2"/>
  <c r="O15" i="2" s="1"/>
  <c r="B15" i="2"/>
  <c r="N15" i="2" s="1"/>
  <c r="I14" i="2"/>
  <c r="H14" i="2"/>
  <c r="G14" i="2"/>
  <c r="F14" i="2"/>
  <c r="E14" i="2"/>
  <c r="D14" i="2"/>
  <c r="C14" i="2"/>
  <c r="O14" i="2" s="1"/>
  <c r="B14" i="2"/>
  <c r="N14" i="2" s="1"/>
  <c r="I13" i="2"/>
  <c r="H13" i="2"/>
  <c r="G13" i="2"/>
  <c r="D13" i="2"/>
  <c r="F13" i="2"/>
  <c r="C13" i="2"/>
  <c r="E13" i="2"/>
  <c r="B13" i="2"/>
  <c r="N13" i="2" s="1"/>
  <c r="I12" i="2"/>
  <c r="F12" i="2"/>
  <c r="C12" i="2"/>
  <c r="H11" i="2"/>
  <c r="E11" i="2"/>
  <c r="B11" i="2"/>
  <c r="G10" i="2"/>
  <c r="D10" i="2"/>
  <c r="I9" i="2"/>
  <c r="F9" i="2"/>
  <c r="C9" i="2"/>
  <c r="H8" i="2"/>
  <c r="E8" i="2"/>
  <c r="B8" i="2"/>
  <c r="G7" i="2"/>
  <c r="D7" i="2"/>
  <c r="I6" i="2"/>
  <c r="C6" i="2"/>
  <c r="H5" i="2"/>
  <c r="E5" i="2"/>
  <c r="B5" i="2"/>
  <c r="H12" i="2"/>
  <c r="B12" i="2"/>
  <c r="G11" i="2"/>
  <c r="I10" i="2"/>
  <c r="C10" i="2"/>
  <c r="E9" i="2"/>
  <c r="G8" i="2"/>
  <c r="I7" i="2"/>
  <c r="H6" i="2"/>
  <c r="G5" i="2"/>
  <c r="B6" i="2"/>
  <c r="G12" i="2"/>
  <c r="D12" i="2"/>
  <c r="I11" i="2"/>
  <c r="F11" i="2"/>
  <c r="C11" i="2"/>
  <c r="O11" i="2" s="1"/>
  <c r="H10" i="2"/>
  <c r="E10" i="2"/>
  <c r="B10" i="2"/>
  <c r="G9" i="2"/>
  <c r="D9" i="2"/>
  <c r="I8" i="2"/>
  <c r="F8" i="2"/>
  <c r="C8" i="2"/>
  <c r="O8" i="2" s="1"/>
  <c r="H7" i="2"/>
  <c r="E7" i="2"/>
  <c r="B7" i="2"/>
  <c r="G6" i="2"/>
  <c r="D6" i="2"/>
  <c r="I5" i="2"/>
  <c r="C5" i="2"/>
  <c r="O5" i="2" s="1"/>
  <c r="E12" i="2"/>
  <c r="D11" i="2"/>
  <c r="F10" i="2"/>
  <c r="H9" i="2"/>
  <c r="B9" i="2"/>
  <c r="N9" i="2" s="1"/>
  <c r="D8" i="2"/>
  <c r="F7" i="2"/>
  <c r="C7" i="2"/>
  <c r="O7" i="2" s="1"/>
  <c r="E6" i="2"/>
  <c r="D5" i="2"/>
  <c r="N7" i="2" l="1"/>
  <c r="N10" i="2"/>
  <c r="N6" i="2"/>
  <c r="O10" i="2"/>
  <c r="N12" i="2"/>
  <c r="N5" i="2"/>
  <c r="O6" i="2"/>
  <c r="N8" i="2"/>
  <c r="O9" i="2"/>
  <c r="N11" i="2"/>
  <c r="O12" i="2"/>
  <c r="O13" i="2"/>
  <c r="D22" i="2"/>
  <c r="C22" i="2"/>
  <c r="F22" i="2"/>
  <c r="I22" i="2"/>
  <c r="G22" i="2"/>
  <c r="B22" i="2"/>
  <c r="E22" i="2"/>
  <c r="H22" i="2"/>
  <c r="N22" i="2" l="1"/>
  <c r="O22" i="2"/>
</calcChain>
</file>

<file path=xl/sharedStrings.xml><?xml version="1.0" encoding="utf-8"?>
<sst xmlns="http://schemas.openxmlformats.org/spreadsheetml/2006/main" count="89" uniqueCount="46">
  <si>
    <t>Visa</t>
  </si>
  <si>
    <t>Débito à Vista</t>
  </si>
  <si>
    <t>Visa Electron</t>
  </si>
  <si>
    <t>Crédito à Vista</t>
  </si>
  <si>
    <t>Visa Vale</t>
  </si>
  <si>
    <t>Sicoob</t>
  </si>
  <si>
    <t>Visa Pré-pago</t>
  </si>
  <si>
    <t>Caixa</t>
  </si>
  <si>
    <t>Mastercard</t>
  </si>
  <si>
    <t>Mastercard Pré-pago</t>
  </si>
  <si>
    <t>Maestro</t>
  </si>
  <si>
    <t>Elo</t>
  </si>
  <si>
    <t>Elo Pré-pago</t>
  </si>
  <si>
    <t>Hipercard</t>
  </si>
  <si>
    <t>American Express</t>
  </si>
  <si>
    <t>Cabal</t>
  </si>
  <si>
    <t>Cabal Pré-pago</t>
  </si>
  <si>
    <t>Alelo</t>
  </si>
  <si>
    <t>Diners Club</t>
  </si>
  <si>
    <t>PIX</t>
  </si>
  <si>
    <t>Data:</t>
  </si>
  <si>
    <t>CARTÕES</t>
  </si>
  <si>
    <t>DINHEIRO</t>
  </si>
  <si>
    <t>TOTAL</t>
  </si>
  <si>
    <t>Espécie</t>
  </si>
  <si>
    <t>Cheque</t>
  </si>
  <si>
    <t>Total Geral</t>
  </si>
  <si>
    <t>Bandeira / Tipo</t>
  </si>
  <si>
    <t>Qtd</t>
  </si>
  <si>
    <t>Valor (R$)</t>
  </si>
  <si>
    <t>Dinheiro</t>
  </si>
  <si>
    <t>TOTAL DO DIA</t>
  </si>
  <si>
    <t>TOTAL DO MÊS</t>
  </si>
  <si>
    <t>Notas  —  Maio 2026</t>
  </si>
  <si>
    <t xml:space="preserve">  Sáb  09/05/2026</t>
  </si>
  <si>
    <t>#</t>
  </si>
  <si>
    <t>Bandeira</t>
  </si>
  <si>
    <t>Tipo</t>
  </si>
  <si>
    <t>Data</t>
  </si>
  <si>
    <t>Hora</t>
  </si>
  <si>
    <t>Status</t>
  </si>
  <si>
    <t>22:32:32</t>
  </si>
  <si>
    <t>S/data</t>
  </si>
  <si>
    <t>22:32:44</t>
  </si>
  <si>
    <t>22:32:52</t>
  </si>
  <si>
    <t xml:space="preserve">  Subtotal  Sáb  09/05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</si>
</sst>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\-"/>
    <numFmt numFmtId="165" formatCode="&quot;R$ &quot;#,##0.00;\-"/>
    <numFmt numFmtId="166" formatCode="\R\$\ #,##0.00"/>
    <numFmt numFmtId="167" formatCode="&quot;R$&quot;\ #.##000;\-&quot;R$&quot;\ #.##000;\-"/>
  </numFmts>
  <fonts count="28">
    <font>
      <sz val="11"/>
      <color theme="1"/>
      <name val="Calibri"/>
      <family val="2"/>
      <charset val="1"/>
    </font>
    <font>
      <b/>
      <sz val="15"/>
      <color rgb="FF1B2A3B"/>
      <name val="Calibri"/>
      <charset val="1"/>
    </font>
    <font>
      <sz val="8"/>
      <color rgb="FFADB5BD"/>
      <name val="Calibri"/>
      <charset val="1"/>
    </font>
    <font>
      <b/>
      <sz val="10"/>
      <color rgb="FF1B2A3B"/>
      <name val="Calibri"/>
      <charset val="1"/>
    </font>
    <font>
      <b/>
      <sz val="10"/>
      <color rgb="FFFFFFFF"/>
      <name val="Calibri"/>
      <charset val="1"/>
    </font>
    <font>
      <sz val="10"/>
      <color rgb="FF6C757D"/>
      <name val="Calibri"/>
      <charset val="1"/>
    </font>
    <font>
      <sz val="10"/>
      <color rgb="FF212529"/>
      <name val="Calibri"/>
      <charset val="1"/>
    </font>
    <font>
      <b/>
      <sz val="10"/>
      <color rgb="FF2F9E44"/>
      <name val="Calibri"/>
      <charset val="1"/>
    </font>
    <font>
      <b/>
      <sz val="11"/>
      <color rgb="FFFFFFFF"/>
      <name val="Calibri"/>
      <charset val="1"/>
    </font>
    <font>
      <b/>
      <sz val="13"/>
      <color rgb="FFFFFFFF"/>
      <name val="Calibri"/>
      <charset val="1"/>
    </font>
    <font>
      <b/>
      <sz val="13"/>
      <color rgb="FF1B2A3B"/>
      <name val="Calibri"/>
    </font>
    <font>
      <b/>
      <sz val="11"/>
      <color rgb="FFFFFFFF"/>
      <name val="Calibri"/>
    </font>
    <font>
      <b/>
      <sz val="13"/>
      <color rgb="FFD0EBFF"/>
      <name val="Calibri"/>
    </font>
    <font>
      <b/>
      <sz val="10"/>
      <color rgb="FF1B2A3B"/>
      <name val="Calibri"/>
    </font>
    <font>
      <b/>
      <sz val="9"/>
      <color rgb="FF1971C2"/>
      <name val="Calibri"/>
    </font>
    <font>
      <sz val="9"/>
      <color rgb="FF6C757D"/>
      <name val="Calibri"/>
    </font>
    <font>
      <sz val="10"/>
      <color rgb="FF212529"/>
      <name val="Calibri"/>
    </font>
    <font>
      <b/>
      <sz val="9"/>
      <color rgb="FFD97706"/>
      <name val="Calibri"/>
    </font>
    <font>
      <b/>
      <sz val="9"/>
      <color rgb="FF2F9E44"/>
      <name val="Calibri"/>
    </font>
    <font>
      <b/>
      <sz val="10"/>
      <color rgb="FF2F9E44"/>
      <name val="Calibri"/>
    </font>
    <font>
      <b/>
      <sz val="12"/>
      <color rgb="FFFFFFFF"/>
      <name val="Calibri"/>
    </font>
    <font>
      <b/>
      <sz val="12"/>
      <color rgb="FF1B2A3B"/>
      <name val="Calibri"/>
    </font>
    <font>
      <b/>
      <i/>
      <sz val="12"/>
      <color rgb="FF6C757D"/>
      <name val="Calibri"/>
    </font>
    <font>
      <b/>
      <sz val="10"/>
      <color rgb="FF1971C2"/>
      <name val="Calibri"/>
      <charset val="1"/>
    </font>
    <font>
      <b/>
      <sz val="10"/>
      <color rgb="FF0284C7"/>
      <name val="Calibri"/>
      <charset val="1"/>
    </font>
    <font>
      <b/>
      <sz val="10"/>
      <color rgb="FFFFFFFF"/>
      <name val="Calibri"/>
    </font>
    <font>
      <b/>
      <sz val="12"/>
      <color rgb="FFFFFFFF"/>
      <name val="Calibri"/>
      <charset val="1"/>
    </font>
    <font>
      <sz val="12"/>
      <color theme="1"/>
      <name val="Calib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8F9FA"/>
        <bgColor rgb="FFFFFFFF"/>
      </patternFill>
    </fill>
    <fill>
      <patternFill patternType="solid">
        <fgColor rgb="FFFFFFFF"/>
        <bgColor rgb="FFF8F9FA"/>
      </patternFill>
    </fill>
    <fill>
      <patternFill patternType="solid">
        <fgColor rgb="FFFFE066"/>
        <bgColor rgb="FFFFCC00"/>
      </patternFill>
    </fill>
    <fill>
      <patternFill patternType="solid">
        <fgColor rgb="FF1B2A3B"/>
        <bgColor rgb="FF212529"/>
      </patternFill>
    </fill>
    <fill>
      <patternFill patternType="solid">
        <fgColor rgb="FF1971C2"/>
        <bgColor rgb="FF0284C7"/>
      </patternFill>
    </fill>
    <fill>
      <patternFill patternType="solid">
        <fgColor rgb="FF0284C7"/>
        <bgColor rgb="FF1971C2"/>
      </patternFill>
    </fill>
    <fill>
      <patternFill patternType="solid">
        <fgColor rgb="FF1B4332"/>
        <bgColor rgb="FF1B2A3B"/>
      </patternFill>
    </fill>
    <fill>
      <patternFill patternType="solid">
        <fgColor rgb="FFD0EBFF"/>
        <bgColor rgb="FFE0F2FE"/>
      </patternFill>
    </fill>
    <fill>
      <patternFill patternType="solid">
        <fgColor rgb="FFE0F2FE"/>
        <bgColor rgb="FFE7F5FF"/>
      </patternFill>
    </fill>
    <fill>
      <patternFill patternType="solid">
        <fgColor rgb="FFE7F5FF"/>
        <bgColor rgb="FFE0F2FE"/>
      </patternFill>
    </fill>
    <fill>
      <patternFill patternType="solid">
        <fgColor rgb="FFBAE6FD"/>
        <bgColor rgb="FFD0EBFF"/>
      </patternFill>
    </fill>
    <fill>
      <patternFill patternType="solid">
        <fgColor rgb="FFE8EEF7"/>
        <bgColor rgb="FFE9ECEF"/>
      </patternFill>
    </fill>
    <fill>
      <patternFill patternType="solid">
        <fgColor rgb="FFD3F9D8"/>
        <bgColor rgb="FFE0F2FE"/>
      </patternFill>
    </fill>
    <fill>
      <patternFill patternType="solid">
        <fgColor rgb="FF4C1D95"/>
        <bgColor rgb="FF660066"/>
      </patternFill>
    </fill>
    <fill>
      <patternFill patternType="solid">
        <fgColor rgb="FFFFFFFF"/>
      </patternFill>
    </fill>
    <fill>
      <patternFill patternType="solid">
        <fgColor rgb="FF1971C2"/>
      </patternFill>
    </fill>
    <fill>
      <patternFill patternType="solid">
        <fgColor rgb="FF1B2A3B"/>
      </patternFill>
    </fill>
    <fill>
      <patternFill patternType="solid">
        <fgColor rgb="FFE7F5FF"/>
      </patternFill>
    </fill>
    <fill>
      <patternFill patternType="solid">
        <fgColor rgb="FFD0EBFF"/>
      </patternFill>
    </fill>
    <fill>
      <patternFill patternType="solid">
        <fgColor rgb="FFF1F3F5"/>
      </patternFill>
    </fill>
    <fill>
      <patternFill patternType="solid">
        <fgColor rgb="FFD3F9D8"/>
      </patternFill>
    </fill>
    <fill>
      <patternFill patternType="solid">
        <fgColor rgb="FFD3F9D8"/>
        <bgColor indexed="64"/>
      </patternFill>
    </fill>
  </fills>
  <borders count="28">
    <border>
      <left/>
      <right/>
      <top/>
      <bottom/>
      <diagonal/>
    </border>
    <border>
      <left style="thin">
        <color rgb="FFE9ECEF"/>
      </left>
      <right/>
      <top style="thin">
        <color rgb="FFE9ECEF"/>
      </top>
      <bottom style="thin">
        <color rgb="FFE9ECEF"/>
      </bottom>
      <diagonal/>
    </border>
    <border>
      <left style="medium">
        <color rgb="FF1971C2"/>
      </left>
      <right/>
      <top style="medium">
        <color rgb="FF1971C2"/>
      </top>
      <bottom style="medium">
        <color rgb="FF1971C2"/>
      </bottom>
      <diagonal/>
    </border>
    <border>
      <left style="thin">
        <color rgb="FF1971C2"/>
      </left>
      <right/>
      <top style="thin">
        <color rgb="FF1971C2"/>
      </top>
      <bottom style="thin">
        <color rgb="FF1971C2"/>
      </bottom>
      <diagonal/>
    </border>
    <border>
      <left style="thin">
        <color rgb="FF0284C7"/>
      </left>
      <right/>
      <top style="thin">
        <color rgb="FF0284C7"/>
      </top>
      <bottom style="thin">
        <color rgb="FF0284C7"/>
      </bottom>
      <diagonal/>
    </border>
    <border>
      <left style="thin">
        <color rgb="FF1B4332"/>
      </left>
      <right/>
      <top style="thin">
        <color rgb="FF1B4332"/>
      </top>
      <bottom style="thin">
        <color rgb="FF1B4332"/>
      </bottom>
      <diagonal/>
    </border>
    <border>
      <left style="thin">
        <color rgb="FF1971C2"/>
      </left>
      <right style="thin">
        <color rgb="FF1971C2"/>
      </right>
      <top style="thin">
        <color rgb="FF1971C2"/>
      </top>
      <bottom style="thin">
        <color rgb="FF1971C2"/>
      </bottom>
      <diagonal/>
    </border>
    <border>
      <left style="thin">
        <color rgb="FF0284C7"/>
      </left>
      <right style="thin">
        <color rgb="FF0284C7"/>
      </right>
      <top style="thin">
        <color rgb="FF0284C7"/>
      </top>
      <bottom style="thin">
        <color rgb="FF0284C7"/>
      </bottom>
      <diagonal/>
    </border>
    <border>
      <left style="thin">
        <color rgb="FF1B4332"/>
      </left>
      <right style="thin">
        <color rgb="FF1B4332"/>
      </right>
      <top style="thin">
        <color rgb="FF1B4332"/>
      </top>
      <bottom style="thin">
        <color rgb="FF1B4332"/>
      </bottom>
      <diagonal/>
    </border>
    <border>
      <left style="medium">
        <color rgb="FF1B2A3B"/>
      </left>
      <right style="thin">
        <color rgb="FFE9ECEF"/>
      </right>
      <top style="thin">
        <color rgb="FFE9ECEF"/>
      </top>
      <bottom style="thin">
        <color rgb="FFE9ECEF"/>
      </bottom>
      <diagonal/>
    </border>
    <border>
      <left style="medium">
        <color rgb="FF1B4332"/>
      </left>
      <right style="thin">
        <color rgb="FFE9ECEF"/>
      </right>
      <top style="medium">
        <color rgb="FF1B4332"/>
      </top>
      <bottom style="medium">
        <color rgb="FF1B4332"/>
      </bottom>
      <diagonal/>
    </border>
    <border>
      <left style="medium">
        <color rgb="FF4C1D95"/>
      </left>
      <right style="thin">
        <color rgb="FFE9ECEF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 style="thin">
        <color rgb="FF4C1D95"/>
      </right>
      <top style="thin">
        <color rgb="FF4C1D95"/>
      </top>
      <bottom style="thin">
        <color rgb="FF4C1D95"/>
      </bottom>
      <diagonal/>
    </border>
    <border>
      <left/>
      <right/>
      <top style="medium">
        <color rgb="FF1971C2"/>
      </top>
      <bottom style="medium">
        <color rgb="FF1971C2"/>
      </bottom>
      <diagonal/>
    </border>
    <border>
      <left/>
      <right/>
      <top style="thin">
        <color rgb="FF0284C7"/>
      </top>
      <bottom style="thin">
        <color rgb="FF0284C7"/>
      </bottom>
      <diagonal/>
    </border>
    <border>
      <left/>
      <right/>
      <top style="thin">
        <color rgb="FF1B4332"/>
      </top>
      <bottom style="thin">
        <color rgb="FF1B4332"/>
      </bottom>
      <diagonal/>
    </border>
    <border>
      <left style="thin">
        <color rgb="FF1B2A3B"/>
      </left>
      <right style="thin">
        <color rgb="FF1B2A3B"/>
      </right>
      <top style="thin">
        <color rgb="FF1B2A3B"/>
      </top>
      <bottom style="thin">
        <color rgb="FF1B2A3B"/>
      </bottom>
      <diagonal/>
    </border>
    <border>
      <left style="medium">
        <color rgb="FF1971C2"/>
      </left>
      <right style="thin">
        <color rgb="FFE9ECEF"/>
      </right>
      <top style="medium">
        <color rgb="FF1971C2"/>
      </top>
      <bottom style="thin">
        <color rgb="FFE9ECEF"/>
      </bottom>
      <diagonal/>
    </border>
    <border>
      <left style="thin">
        <color rgb="FFE9ECEF"/>
      </left>
      <right style="thin">
        <color rgb="FFE9ECEF"/>
      </right>
      <top style="thin">
        <color rgb="FFE9ECEF"/>
      </top>
      <bottom style="medium">
        <color rgb="FF1971C2"/>
      </bottom>
      <diagonal/>
    </border>
    <border>
      <left style="thin">
        <color rgb="FFE9ECEF"/>
      </left>
      <right style="thin">
        <color rgb="FFE9ECEF"/>
      </right>
      <top style="thin">
        <color rgb="FFE9ECEF"/>
      </top>
      <bottom style="thin">
        <color rgb="FFE9ECEF"/>
      </bottom>
      <diagonal/>
    </border>
    <border>
      <left style="thin">
        <color rgb="FF2F9E44"/>
      </left>
      <right style="thin">
        <color rgb="FF2F9E44"/>
      </right>
      <top style="thin">
        <color rgb="FF2F9E44"/>
      </top>
      <bottom style="thin">
        <color rgb="FF2F9E44"/>
      </bottom>
      <diagonal/>
    </border>
    <border>
      <left style="thin">
        <color rgb="FF1B2A3B"/>
      </left>
      <right/>
      <top style="thin">
        <color rgb="FF1971C2"/>
      </top>
      <bottom style="thin">
        <color rgb="FF1971C2"/>
      </bottom>
      <diagonal/>
    </border>
    <border>
      <left/>
      <right style="thin">
        <color rgb="FF1971C2"/>
      </right>
      <top style="thin">
        <color rgb="FF1971C2"/>
      </top>
      <bottom style="thin">
        <color rgb="FF1971C2"/>
      </bottom>
      <diagonal/>
    </border>
    <border>
      <left/>
      <right style="thin">
        <color rgb="FF0284C7"/>
      </right>
      <top style="thin">
        <color rgb="FF1971C2"/>
      </top>
      <bottom style="thin">
        <color rgb="FF1971C2"/>
      </bottom>
      <diagonal/>
    </border>
    <border>
      <left/>
      <right style="thin">
        <color rgb="FF0284C7"/>
      </right>
      <top style="thin">
        <color rgb="FF0284C7"/>
      </top>
      <bottom style="thin">
        <color rgb="FF0284C7"/>
      </bottom>
      <diagonal/>
    </border>
    <border>
      <left style="thin">
        <color rgb="FF1B2A3B"/>
      </left>
      <right/>
      <top/>
      <bottom style="thin">
        <color rgb="FF1971C2"/>
      </bottom>
      <diagonal/>
    </border>
    <border>
      <left/>
      <right/>
      <top/>
      <bottom style="thin">
        <color rgb="FF1971C2"/>
      </bottom>
      <diagonal/>
    </border>
    <border>
      <left/>
      <right style="thin">
        <color rgb="FF0284C7"/>
      </right>
      <top/>
      <bottom style="thin">
        <color rgb="FF1971C2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13" borderId="9" xfId="0" applyFont="1" applyFill="1" applyBorder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164" fontId="4" fillId="8" borderId="8" xfId="0" applyNumberFormat="1" applyFont="1" applyFill="1" applyBorder="1" applyAlignment="1">
      <alignment horizontal="center" vertical="center"/>
    </xf>
    <xf numFmtId="165" fontId="4" fillId="8" borderId="8" xfId="0" applyNumberFormat="1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164" fontId="8" fillId="8" borderId="8" xfId="0" applyNumberFormat="1" applyFont="1" applyFill="1" applyBorder="1" applyAlignment="1">
      <alignment horizontal="center" vertical="center"/>
    </xf>
    <xf numFmtId="165" fontId="9" fillId="8" borderId="8" xfId="0" applyNumberFormat="1" applyFont="1" applyFill="1" applyBorder="1" applyAlignment="1">
      <alignment horizontal="center" vertical="center"/>
    </xf>
    <xf numFmtId="0" fontId="8" fillId="15" borderId="11" xfId="0" applyFont="1" applyFill="1" applyBorder="1" applyAlignment="1">
      <alignment horizontal="center" vertical="center"/>
    </xf>
    <xf numFmtId="164" fontId="4" fillId="15" borderId="12" xfId="0" applyNumberFormat="1" applyFont="1" applyFill="1" applyBorder="1" applyAlignment="1">
      <alignment horizontal="center" vertical="center"/>
    </xf>
    <xf numFmtId="165" fontId="4" fillId="15" borderId="12" xfId="0" applyNumberFormat="1" applyFont="1" applyFill="1" applyBorder="1" applyAlignment="1">
      <alignment horizontal="center" vertical="center"/>
    </xf>
    <xf numFmtId="164" fontId="8" fillId="15" borderId="12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0" fontId="0" fillId="18" borderId="16" xfId="0" applyFill="1" applyBorder="1"/>
    <xf numFmtId="166" fontId="12" fillId="18" borderId="16" xfId="0" applyNumberFormat="1" applyFont="1" applyFill="1" applyBorder="1" applyAlignment="1">
      <alignment horizontal="center" vertical="center"/>
    </xf>
    <xf numFmtId="0" fontId="14" fillId="20" borderId="18" xfId="0" applyFont="1" applyFill="1" applyBorder="1" applyAlignment="1">
      <alignment horizontal="center" vertical="center"/>
    </xf>
    <xf numFmtId="0" fontId="15" fillId="16" borderId="19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left" vertical="center"/>
    </xf>
    <xf numFmtId="0" fontId="16" fillId="16" borderId="19" xfId="0" applyFont="1" applyFill="1" applyBorder="1" applyAlignment="1">
      <alignment horizontal="center" vertical="center"/>
    </xf>
    <xf numFmtId="14" fontId="16" fillId="16" borderId="19" xfId="0" applyNumberFormat="1" applyFont="1" applyFill="1" applyBorder="1" applyAlignment="1">
      <alignment horizontal="center" vertical="center"/>
    </xf>
    <xf numFmtId="166" fontId="13" fillId="16" borderId="19" xfId="0" applyNumberFormat="1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/>
    </xf>
    <xf numFmtId="0" fontId="15" fillId="21" borderId="19" xfId="0" applyFont="1" applyFill="1" applyBorder="1" applyAlignment="1">
      <alignment horizontal="center" vertical="center"/>
    </xf>
    <xf numFmtId="0" fontId="13" fillId="21" borderId="19" xfId="0" applyFont="1" applyFill="1" applyBorder="1" applyAlignment="1">
      <alignment horizontal="left" vertical="center"/>
    </xf>
    <xf numFmtId="0" fontId="16" fillId="21" borderId="19" xfId="0" applyFont="1" applyFill="1" applyBorder="1" applyAlignment="1">
      <alignment horizontal="center" vertical="center"/>
    </xf>
    <xf numFmtId="14" fontId="16" fillId="21" borderId="19" xfId="0" applyNumberFormat="1" applyFont="1" applyFill="1" applyBorder="1" applyAlignment="1">
      <alignment horizontal="center" vertical="center"/>
    </xf>
    <xf numFmtId="166" fontId="13" fillId="21" borderId="19" xfId="0" applyNumberFormat="1" applyFont="1" applyFill="1" applyBorder="1" applyAlignment="1">
      <alignment horizontal="center" vertical="center"/>
    </xf>
    <xf numFmtId="0" fontId="17" fillId="21" borderId="19" xfId="0" applyFont="1" applyFill="1" applyBorder="1" applyAlignment="1">
      <alignment horizontal="center" vertical="center"/>
    </xf>
    <xf numFmtId="166" fontId="19" fillId="22" borderId="20" xfId="0" applyNumberFormat="1" applyFont="1" applyFill="1" applyBorder="1" applyAlignment="1">
      <alignment horizontal="center" vertical="center"/>
    </xf>
    <xf numFmtId="0" fontId="0" fillId="22" borderId="20" xfId="0" applyFill="1" applyBorder="1"/>
    <xf numFmtId="0" fontId="22" fillId="2" borderId="1" xfId="0" applyFont="1" applyFill="1" applyBorder="1" applyAlignment="1">
      <alignment horizontal="center" vertical="center"/>
    </xf>
    <xf numFmtId="0" fontId="0" fillId="5" borderId="16" xfId="0" applyFill="1" applyBorder="1"/>
    <xf numFmtId="164" fontId="5" fillId="11" borderId="19" xfId="0" applyNumberFormat="1" applyFont="1" applyFill="1" applyBorder="1" applyAlignment="1">
      <alignment horizontal="center" vertical="center"/>
    </xf>
    <xf numFmtId="165" fontId="6" fillId="11" borderId="19" xfId="0" applyNumberFormat="1" applyFont="1" applyFill="1" applyBorder="1" applyAlignment="1">
      <alignment horizontal="center" vertical="center"/>
    </xf>
    <xf numFmtId="164" fontId="5" fillId="3" borderId="19" xfId="0" applyNumberFormat="1" applyFont="1" applyFill="1" applyBorder="1" applyAlignment="1">
      <alignment horizontal="center" vertical="center"/>
    </xf>
    <xf numFmtId="165" fontId="6" fillId="3" borderId="19" xfId="0" applyNumberFormat="1" applyFont="1" applyFill="1" applyBorder="1" applyAlignment="1">
      <alignment horizontal="center" vertical="center"/>
    </xf>
    <xf numFmtId="164" fontId="5" fillId="10" borderId="19" xfId="0" applyNumberFormat="1" applyFont="1" applyFill="1" applyBorder="1" applyAlignment="1">
      <alignment horizontal="center" vertical="center"/>
    </xf>
    <xf numFmtId="165" fontId="6" fillId="10" borderId="19" xfId="0" applyNumberFormat="1" applyFont="1" applyFill="1" applyBorder="1" applyAlignment="1">
      <alignment horizontal="center" vertical="center"/>
    </xf>
    <xf numFmtId="164" fontId="7" fillId="14" borderId="20" xfId="0" applyNumberFormat="1" applyFont="1" applyFill="1" applyBorder="1" applyAlignment="1">
      <alignment horizontal="center" vertical="center"/>
    </xf>
    <xf numFmtId="165" fontId="7" fillId="14" borderId="20" xfId="0" applyNumberFormat="1" applyFont="1" applyFill="1" applyBorder="1" applyAlignment="1">
      <alignment horizontal="center" vertical="center"/>
    </xf>
    <xf numFmtId="164" fontId="7" fillId="23" borderId="20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0" fillId="8" borderId="5" xfId="0" applyFont="1" applyFill="1" applyBorder="1" applyAlignment="1">
      <alignment horizontal="center" vertical="center"/>
    </xf>
    <xf numFmtId="0" fontId="20" fillId="8" borderId="15" xfId="0" applyFont="1" applyFill="1" applyBorder="1" applyAlignment="1">
      <alignment horizontal="center" vertical="center"/>
    </xf>
    <xf numFmtId="0" fontId="21" fillId="10" borderId="4" xfId="0" applyFont="1" applyFill="1" applyBorder="1" applyAlignment="1">
      <alignment horizontal="center" vertical="center"/>
    </xf>
    <xf numFmtId="0" fontId="21" fillId="10" borderId="14" xfId="0" applyFont="1" applyFill="1" applyBorder="1" applyAlignment="1">
      <alignment horizontal="center" vertical="center"/>
    </xf>
    <xf numFmtId="0" fontId="21" fillId="10" borderId="24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21" fillId="9" borderId="21" xfId="0" applyFont="1" applyFill="1" applyBorder="1" applyAlignment="1">
      <alignment horizontal="center" vertical="center"/>
    </xf>
    <xf numFmtId="0" fontId="21" fillId="9" borderId="22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14" fontId="1" fillId="4" borderId="13" xfId="0" applyNumberFormat="1" applyFont="1" applyFill="1" applyBorder="1" applyAlignment="1">
      <alignment horizontal="center" vertical="center"/>
    </xf>
    <xf numFmtId="0" fontId="10" fillId="16" borderId="0" xfId="0" applyFont="1" applyFill="1" applyAlignment="1">
      <alignment horizontal="left" vertical="center"/>
    </xf>
    <xf numFmtId="0" fontId="13" fillId="19" borderId="17" xfId="0" applyFont="1" applyFill="1" applyBorder="1" applyAlignment="1">
      <alignment horizontal="left" vertical="center"/>
    </xf>
    <xf numFmtId="0" fontId="11" fillId="18" borderId="16" xfId="0" applyFont="1" applyFill="1" applyBorder="1" applyAlignment="1">
      <alignment horizontal="left" vertical="center"/>
    </xf>
    <xf numFmtId="0" fontId="18" fillId="22" borderId="20" xfId="0" applyFont="1" applyFill="1" applyBorder="1" applyAlignment="1">
      <alignment horizontal="left" vertical="center"/>
    </xf>
    <xf numFmtId="167" fontId="5" fillId="10" borderId="19" xfId="0" applyNumberFormat="1" applyFont="1" applyFill="1" applyBorder="1" applyAlignment="1">
      <alignment horizontal="center" vertical="center"/>
    </xf>
    <xf numFmtId="167" fontId="6" fillId="10" borderId="19" xfId="0" applyNumberFormat="1" applyFont="1" applyFill="1" applyBorder="1" applyAlignment="1">
      <alignment horizontal="center" vertical="center"/>
    </xf>
    <xf numFmtId="167" fontId="5" fillId="11" borderId="19" xfId="0" applyNumberFormat="1" applyFont="1" applyFill="1" applyBorder="1" applyAlignment="1">
      <alignment horizontal="center" vertical="center"/>
    </xf>
    <xf numFmtId="167" fontId="6" fillId="11" borderId="19" xfId="0" applyNumberFormat="1" applyFont="1" applyFill="1" applyBorder="1" applyAlignment="1">
      <alignment horizontal="center" vertical="center"/>
    </xf>
    <xf numFmtId="167" fontId="5" fillId="3" borderId="19" xfId="0" applyNumberFormat="1" applyFont="1" applyFill="1" applyBorder="1" applyAlignment="1">
      <alignment horizontal="center" vertical="center"/>
    </xf>
    <xf numFmtId="167" fontId="6" fillId="3" borderId="19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23" fillId="11" borderId="6" xfId="0" applyFont="1" applyFill="1" applyBorder="1" applyAlignment="1">
      <alignment horizontal="center" vertical="center"/>
    </xf>
    <xf numFmtId="0" fontId="24" fillId="12" borderId="7" xfId="0" applyFont="1" applyFill="1" applyBorder="1" applyAlignment="1">
      <alignment horizontal="center" vertical="center"/>
    </xf>
    <xf numFmtId="0" fontId="25" fillId="8" borderId="8" xfId="0" applyFont="1" applyFill="1" applyBorder="1" applyAlignment="1">
      <alignment horizontal="center" vertical="center"/>
    </xf>
    <xf numFmtId="0" fontId="13" fillId="9" borderId="22" xfId="0" applyFont="1" applyFill="1" applyBorder="1" applyAlignment="1">
      <alignment horizontal="center" vertical="center"/>
    </xf>
    <xf numFmtId="0" fontId="26" fillId="6" borderId="25" xfId="0" applyFont="1" applyFill="1" applyBorder="1" applyAlignment="1">
      <alignment horizontal="center" vertical="center"/>
    </xf>
    <xf numFmtId="0" fontId="26" fillId="6" borderId="26" xfId="0" applyFont="1" applyFill="1" applyBorder="1" applyAlignment="1">
      <alignment horizontal="center" vertical="center"/>
    </xf>
    <xf numFmtId="0" fontId="26" fillId="6" borderId="27" xfId="0" applyFont="1" applyFill="1" applyBorder="1" applyAlignment="1">
      <alignment horizontal="center" vertical="center"/>
    </xf>
    <xf numFmtId="0" fontId="27" fillId="0" borderId="0" xfId="0" applyFont="1"/>
    <xf numFmtId="0" fontId="26" fillId="7" borderId="4" xfId="0" applyFont="1" applyFill="1" applyBorder="1" applyAlignment="1">
      <alignment horizontal="center" vertical="center"/>
    </xf>
    <xf numFmtId="0" fontId="26" fillId="7" borderId="14" xfId="0" applyFont="1" applyFill="1" applyBorder="1" applyAlignment="1">
      <alignment horizontal="center" vertical="center"/>
    </xf>
    <xf numFmtId="0" fontId="26" fillId="8" borderId="5" xfId="0" applyFont="1" applyFill="1" applyBorder="1" applyAlignment="1">
      <alignment horizontal="center" vertical="center"/>
    </xf>
    <xf numFmtId="0" fontId="26" fillId="8" borderId="15" xfId="0" applyFont="1" applyFill="1" applyBorder="1" applyAlignment="1">
      <alignment horizontal="center" vertical="center"/>
    </xf>
    <xf numFmtId="0" fontId="25" fillId="5" borderId="16" xfId="0" applyFont="1" applyFill="1" applyBorder="1" applyAlignment="1">
      <alignment horizontal="center" vertical="center"/>
    </xf>
    <xf numFmtId="0" fontId="0" fillId="0" borderId="0" xfId="0" applyAlignment="1"/>
    <xf numFmtId="0" fontId="0" fillId="17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4C7"/>
      <rgbColor rgb="FFADB5BD"/>
      <rgbColor rgb="FF6C757D"/>
      <rgbColor rgb="FF9999FF"/>
      <rgbColor rgb="FF993366"/>
      <rgbColor rgb="FFF8F9FA"/>
      <rgbColor rgb="FFE0F2FE"/>
      <rgbColor rgb="FF660066"/>
      <rgbColor rgb="FFFF8080"/>
      <rgbColor rgb="FF1971C2"/>
      <rgbColor rgb="FFBAE6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BFF"/>
      <rgbColor rgb="FFD3F9D8"/>
      <rgbColor rgb="FFE9ECEF"/>
      <rgbColor rgb="FFE8EEF7"/>
      <rgbColor rgb="FFFF99CC"/>
      <rgbColor rgb="FFE7F5FF"/>
      <rgbColor rgb="FFFFE0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3B"/>
      <rgbColor rgb="FF2F9E44"/>
      <rgbColor rgb="FF003300"/>
      <rgbColor rgb="FF1B4332"/>
      <rgbColor rgb="FF993300"/>
      <rgbColor rgb="FF993366"/>
      <rgbColor rgb="FF4C1D95"/>
      <rgbColor rgb="FF2125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2F9B46"/>
      <color rgb="FFD3F9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zoomScaleNormal="100" workbookViewId="0"/>
  </sheetViews>
  <sheetFormatPr defaultColWidth="8.7109375" defaultRowHeight="15"/>
  <sheetData>
    <row r="1" spans="1:2" ht="15" customHeight="1">
      <c r="A1" t="s">
        <v>0</v>
      </c>
      <c r="B1" t="s">
        <v>1</v>
      </c>
    </row>
    <row r="2" spans="1:2" ht="15" customHeight="1">
      <c r="A2" t="s">
        <v>2</v>
      </c>
      <c r="B2" t="s">
        <v>3</v>
      </c>
    </row>
    <row r="3" spans="1:2" ht="15" customHeight="1">
      <c r="A3" t="s">
        <v>4</v>
      </c>
      <c r="B3" t="s">
        <v>5</v>
      </c>
    </row>
    <row r="4" spans="1:2" ht="15" customHeight="1">
      <c r="A4" t="s">
        <v>6</v>
      </c>
      <c r="B4" t="s">
        <v>7</v>
      </c>
    </row>
    <row r="5" spans="1:2" ht="15" customHeight="1">
      <c r="A5" t="s">
        <v>8</v>
      </c>
    </row>
    <row r="6" spans="1:2" ht="15" customHeight="1">
      <c r="A6" t="s">
        <v>9</v>
      </c>
    </row>
    <row r="7" spans="1:2" ht="15" customHeight="1">
      <c r="A7" t="s">
        <v>10</v>
      </c>
    </row>
    <row r="8" spans="1:2" ht="15" customHeight="1">
      <c r="A8" t="s">
        <v>11</v>
      </c>
    </row>
    <row r="9" spans="1:2" ht="15" customHeight="1">
      <c r="A9" t="s">
        <v>12</v>
      </c>
    </row>
    <row r="10" spans="1:2" ht="15" customHeight="1">
      <c r="A10" t="s">
        <v>13</v>
      </c>
    </row>
    <row r="11" spans="1:2" ht="15" customHeight="1">
      <c r="A11" t="s">
        <v>14</v>
      </c>
    </row>
    <row r="12" spans="1:2" ht="15" customHeight="1">
      <c r="A12" t="s">
        <v>15</v>
      </c>
    </row>
    <row r="13" spans="1:2" ht="15" customHeight="1">
      <c r="A13" t="s">
        <v>16</v>
      </c>
    </row>
    <row r="14" spans="1:2" ht="15" customHeight="1">
      <c r="A14" t="s">
        <v>17</v>
      </c>
    </row>
    <row r="15" spans="1:2" ht="15" customHeight="1">
      <c r="A15" t="s">
        <v>18</v>
      </c>
    </row>
    <row r="16" spans="1:2" ht="15" customHeight="1">
      <c r="A16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7"/>
  <sheetViews>
    <sheetView showGridLines="0" tabSelected="1" zoomScaleNormal="100" workbookViewId="0">
      <pane xSplit="1" ySplit="4" topLeftCell="B5" activePane="bottomRight" state="frozen"/>
      <selection pane="bottomRight" activeCell="B1" sqref="B1:C1"/>
      <selection pane="bottomLeft" activeCell="A10" sqref="A10"/>
      <selection pane="topRight" activeCell="C1" sqref="C1"/>
    </sheetView>
  </sheetViews>
  <sheetFormatPr defaultColWidth="8.7109375" defaultRowHeight="15"/>
  <cols>
    <col min="1" max="1" width="22" customWidth="1"/>
    <col min="2" max="2" width="6" customWidth="1"/>
    <col min="3" max="3" width="13" customWidth="1"/>
    <col min="4" max="4" width="6" customWidth="1"/>
    <col min="5" max="5" width="13" customWidth="1"/>
    <col min="6" max="6" width="6" customWidth="1"/>
    <col min="7" max="7" width="13" customWidth="1"/>
    <col min="8" max="8" width="6" customWidth="1"/>
    <col min="9" max="9" width="13" customWidth="1"/>
    <col min="10" max="10" width="6" customWidth="1"/>
    <col min="11" max="11" width="13" customWidth="1"/>
  </cols>
  <sheetData>
    <row r="1" spans="1:19" ht="39.75" customHeight="1">
      <c r="A1" s="30" t="s">
        <v>20</v>
      </c>
      <c r="B1" s="51">
        <v>46148</v>
      </c>
      <c r="C1" s="52"/>
      <c r="D1" s="41"/>
      <c r="E1" s="41"/>
      <c r="F1" s="41"/>
      <c r="G1" s="41"/>
      <c r="H1" s="41"/>
      <c r="I1" s="41"/>
      <c r="J1" s="41"/>
      <c r="K1" s="41"/>
    </row>
    <row r="2" spans="1:19" ht="18" customHeight="1">
      <c r="A2" s="31"/>
      <c r="B2" s="68" t="s">
        <v>21</v>
      </c>
      <c r="C2" s="69"/>
      <c r="D2" s="69"/>
      <c r="E2" s="70"/>
      <c r="F2" s="72" t="s">
        <v>19</v>
      </c>
      <c r="G2" s="73"/>
      <c r="H2" s="73"/>
      <c r="I2" s="73"/>
      <c r="J2" s="68" t="s">
        <v>22</v>
      </c>
      <c r="K2" s="69"/>
      <c r="L2" s="69"/>
      <c r="M2" s="70"/>
      <c r="N2" s="74" t="s">
        <v>23</v>
      </c>
      <c r="O2" s="75"/>
    </row>
    <row r="3" spans="1:19" ht="27.75" customHeight="1">
      <c r="A3" s="31"/>
      <c r="B3" s="49" t="s">
        <v>1</v>
      </c>
      <c r="C3" s="67"/>
      <c r="D3" s="47" t="s">
        <v>3</v>
      </c>
      <c r="E3" s="48"/>
      <c r="F3" s="44" t="s">
        <v>5</v>
      </c>
      <c r="G3" s="46"/>
      <c r="H3" s="44" t="s">
        <v>7</v>
      </c>
      <c r="I3" s="45"/>
      <c r="J3" s="49" t="s">
        <v>24</v>
      </c>
      <c r="K3" s="50"/>
      <c r="L3" s="47" t="s">
        <v>25</v>
      </c>
      <c r="M3" s="48"/>
      <c r="N3" s="42" t="s">
        <v>26</v>
      </c>
      <c r="O3" s="43"/>
    </row>
    <row r="4" spans="1:19" ht="15.75" customHeight="1">
      <c r="A4" s="76" t="s">
        <v>27</v>
      </c>
      <c r="B4" s="64" t="s">
        <v>28</v>
      </c>
      <c r="C4" s="64" t="s">
        <v>29</v>
      </c>
      <c r="D4" s="64" t="s">
        <v>28</v>
      </c>
      <c r="E4" s="64" t="s">
        <v>29</v>
      </c>
      <c r="F4" s="65" t="s">
        <v>28</v>
      </c>
      <c r="G4" s="65" t="s">
        <v>29</v>
      </c>
      <c r="H4" s="65" t="s">
        <v>28</v>
      </c>
      <c r="I4" s="65" t="s">
        <v>29</v>
      </c>
      <c r="J4" s="64" t="s">
        <v>28</v>
      </c>
      <c r="K4" s="64" t="s">
        <v>29</v>
      </c>
      <c r="L4" s="64" t="s">
        <v>28</v>
      </c>
      <c r="M4" s="64" t="s">
        <v>29</v>
      </c>
      <c r="N4" s="66" t="s">
        <v>28</v>
      </c>
      <c r="O4" s="66" t="s">
        <v>29</v>
      </c>
    </row>
    <row r="5" spans="1:19" ht="24" customHeight="1">
      <c r="A5" s="1" t="s">
        <v>0</v>
      </c>
      <c r="B5" s="32">
        <f ca="1">IFERROR(COUNTIFS(INDIRECT("'"&amp;#REF!&amp;"'!B:B"),$A5,INDIRECT("'"&amp;#REF!&amp;"'!C:C"),"Débito à Vista",INDIRECT("'"&amp;#REF!&amp;"'!D:D"),B1),0)</f>
        <v>0</v>
      </c>
      <c r="C5" s="33">
        <f ca="1">IFERROR(SUMIFS(INDIRECT("'"&amp;#REF!&amp;"'!E:E"),INDIRECT("'"&amp;#REF!&amp;"'!B:B"),$A5,INDIRECT("'"&amp;#REF!&amp;"'!C:C"),"Débito à Vista",INDIRECT("'"&amp;#REF!&amp;"'!D:D"),B1),0)</f>
        <v>0</v>
      </c>
      <c r="D5" s="34">
        <f ca="1">IFERROR(COUNTIFS(INDIRECT("'"&amp;#REF!&amp;"'!B:B"),$A5,INDIRECT("'"&amp;#REF!&amp;"'!C:C"),"Crédito à Vista",INDIRECT("'"&amp;#REF!&amp;"'!D:D"),B1),0)</f>
        <v>0</v>
      </c>
      <c r="E5" s="35">
        <f ca="1">IFERROR(SUMIFS(INDIRECT("'"&amp;#REF!&amp;"'!E:E"),INDIRECT("'"&amp;#REF!&amp;"'!B:B"),$A5,INDIRECT("'"&amp;#REF!&amp;"'!C:C"),"Crédito à Vista",INDIRECT("'"&amp;#REF!&amp;"'!D:D"),B1),0)</f>
        <v>0</v>
      </c>
      <c r="F5" s="57">
        <f ca="1">IFERROR(COUNTIFS(INDIRECT("'"&amp;#REF!&amp;"'!B:B"),$A5,INDIRECT("'"&amp;#REF!&amp;"'!C:C"),"Sicoob",INDIRECT("'"&amp;#REF!&amp;"'!D:D"),B1),0)</f>
        <v>0</v>
      </c>
      <c r="G5" s="58">
        <f ca="1">IFERROR(SUMIFS(INDIRECT("'"&amp;#REF!&amp;"'!E:E"),INDIRECT("'"&amp;#REF!&amp;"'!B:B"),$A5,INDIRECT("'"&amp;#REF!&amp;"'!C:C"),"Sicoob",INDIRECT("'"&amp;#REF!&amp;"'!D:D"),B1),0)</f>
        <v>0</v>
      </c>
      <c r="H5" s="57">
        <f ca="1">IFERROR(COUNTIFS(INDIRECT("'"&amp;#REF!&amp;"'!B:B"),$A5,INDIRECT("'"&amp;#REF!&amp;"'!C:C"),"Caixa",INDIRECT("'"&amp;#REF!&amp;"'!D:D"),B1),0)</f>
        <v>0</v>
      </c>
      <c r="I5" s="58">
        <f ca="1">IFERROR(SUMIFS(INDIRECT("'"&amp;#REF!&amp;"'!E:E"),INDIRECT("'"&amp;#REF!&amp;"'!B:B"),$A5,INDIRECT("'"&amp;#REF!&amp;"'!C:C"),"Caixa",INDIRECT("'"&amp;#REF!&amp;"'!D:D"),B1),0)</f>
        <v>0</v>
      </c>
      <c r="J5" s="59">
        <f ca="1">IFERROR(COUNTIFS(INDIRECT("'"&amp;#REF!&amp;"'!B:B"),$A5,INDIRECT("'"&amp;#REF!&amp;"'!C:C"),"Débito à Vista",INDIRECT("'"&amp;#REF!&amp;"'!D:D"),J1),0)</f>
        <v>0</v>
      </c>
      <c r="K5" s="60">
        <f ca="1">IFERROR(SUMIFS(INDIRECT("'"&amp;#REF!&amp;"'!E:E"),INDIRECT("'"&amp;#REF!&amp;"'!B:B"),$A5,INDIRECT("'"&amp;#REF!&amp;"'!C:C"),"Débito à Vista",INDIRECT("'"&amp;#REF!&amp;"'!D:D"),J1),0)</f>
        <v>0</v>
      </c>
      <c r="L5" s="61">
        <f ca="1">IFERROR(COUNTIFS(INDIRECT("'"&amp;#REF!&amp;"'!B:B"),$A5,INDIRECT("'"&amp;#REF!&amp;"'!C:C"),"Crédito à Vista",INDIRECT("'"&amp;#REF!&amp;"'!D:D"),J1),0)</f>
        <v>0</v>
      </c>
      <c r="M5" s="62">
        <f ca="1">IFERROR(SUMIFS(INDIRECT("'"&amp;#REF!&amp;"'!E:E"),INDIRECT("'"&amp;#REF!&amp;"'!B:B"),$A5,INDIRECT("'"&amp;#REF!&amp;"'!C:C"),"Crédito à Vista",INDIRECT("'"&amp;#REF!&amp;"'!D:D"),J1),0)</f>
        <v>0</v>
      </c>
      <c r="N5" s="38">
        <f ca="1">IFERROR(B5+D5+F5+H5,0)</f>
        <v>0</v>
      </c>
      <c r="O5" s="39">
        <f ca="1">IFERROR(C5+E5+G5+I5,0)</f>
        <v>0</v>
      </c>
    </row>
    <row r="6" spans="1:19" ht="24" customHeight="1">
      <c r="A6" s="2" t="s">
        <v>2</v>
      </c>
      <c r="B6" s="32">
        <f ca="1">IFERROR(COUNTIFS(INDIRECT("'"&amp;#REF!&amp;"'!B:B"),$A6,INDIRECT("'"&amp;#REF!&amp;"'!C:C"),"Débito à Vista",INDIRECT("'"&amp;#REF!&amp;"'!D:D"),B1),0)</f>
        <v>0</v>
      </c>
      <c r="C6" s="33">
        <f ca="1">IFERROR(SUMIFS(INDIRECT("'"&amp;#REF!&amp;"'!E:E"),INDIRECT("'"&amp;#REF!&amp;"'!B:B"),$A6,INDIRECT("'"&amp;#REF!&amp;"'!C:C"),"Débito à Vista",INDIRECT("'"&amp;#REF!&amp;"'!D:D"),B1),0)</f>
        <v>0</v>
      </c>
      <c r="D6" s="34">
        <f ca="1">IFERROR(COUNTIFS(INDIRECT("'"&amp;#REF!&amp;"'!B:B"),$A6,INDIRECT("'"&amp;#REF!&amp;"'!C:C"),"Crédito à Vista",INDIRECT("'"&amp;#REF!&amp;"'!D:D"),B1),0)</f>
        <v>0</v>
      </c>
      <c r="E6" s="35">
        <f ca="1">IFERROR(SUMIFS(INDIRECT("'"&amp;#REF!&amp;"'!E:E"),INDIRECT("'"&amp;#REF!&amp;"'!B:B"),$A6,INDIRECT("'"&amp;#REF!&amp;"'!C:C"),"Crédito à Vista",INDIRECT("'"&amp;#REF!&amp;"'!D:D"),B1),0)</f>
        <v>0</v>
      </c>
      <c r="F6" s="57">
        <f ca="1">IFERROR(COUNTIFS(INDIRECT("'"&amp;#REF!&amp;"'!B:B"),$A6,INDIRECT("'"&amp;#REF!&amp;"'!C:C"),"Sicoob",INDIRECT("'"&amp;#REF!&amp;"'!D:D"),B1),0)</f>
        <v>0</v>
      </c>
      <c r="G6" s="58">
        <f ca="1">IFERROR(SUMIFS(INDIRECT("'"&amp;#REF!&amp;"'!E:E"),INDIRECT("'"&amp;#REF!&amp;"'!B:B"),$A6,INDIRECT("'"&amp;#REF!&amp;"'!C:C"),"Sicoob",INDIRECT("'"&amp;#REF!&amp;"'!D:D"),B1),0)</f>
        <v>0</v>
      </c>
      <c r="H6" s="57">
        <f ca="1">IFERROR(COUNTIFS(INDIRECT("'"&amp;#REF!&amp;"'!B:B"),$A6,INDIRECT("'"&amp;#REF!&amp;"'!C:C"),"Caixa",INDIRECT("'"&amp;#REF!&amp;"'!D:D"),B1),0)</f>
        <v>0</v>
      </c>
      <c r="I6" s="58">
        <f ca="1">IFERROR(SUMIFS(INDIRECT("'"&amp;#REF!&amp;"'!E:E"),INDIRECT("'"&amp;#REF!&amp;"'!B:B"),$A6,INDIRECT("'"&amp;#REF!&amp;"'!C:C"),"Caixa",INDIRECT("'"&amp;#REF!&amp;"'!D:D"),B1),0)</f>
        <v>0</v>
      </c>
      <c r="J6" s="59">
        <f ca="1">IFERROR(COUNTIFS(INDIRECT("'"&amp;#REF!&amp;"'!B:B"),$A6,INDIRECT("'"&amp;#REF!&amp;"'!C:C"),"Débito à Vista",INDIRECT("'"&amp;#REF!&amp;"'!D:D"),J1),0)</f>
        <v>0</v>
      </c>
      <c r="K6" s="60">
        <f ca="1">IFERROR(SUMIFS(INDIRECT("'"&amp;#REF!&amp;"'!E:E"),INDIRECT("'"&amp;#REF!&amp;"'!B:B"),$A6,INDIRECT("'"&amp;#REF!&amp;"'!C:C"),"Débito à Vista",INDIRECT("'"&amp;#REF!&amp;"'!D:D"),J1),0)</f>
        <v>0</v>
      </c>
      <c r="L6" s="61">
        <f ca="1">IFERROR(COUNTIFS(INDIRECT("'"&amp;#REF!&amp;"'!B:B"),$A6,INDIRECT("'"&amp;#REF!&amp;"'!C:C"),"Crédito à Vista",INDIRECT("'"&amp;#REF!&amp;"'!D:D"),J1),0)</f>
        <v>0</v>
      </c>
      <c r="M6" s="62">
        <f ca="1">IFERROR(SUMIFS(INDIRECT("'"&amp;#REF!&amp;"'!E:E"),INDIRECT("'"&amp;#REF!&amp;"'!B:B"),$A6,INDIRECT("'"&amp;#REF!&amp;"'!C:C"),"Crédito à Vista",INDIRECT("'"&amp;#REF!&amp;"'!D:D"),J1),0)</f>
        <v>0</v>
      </c>
      <c r="N6" s="38">
        <f ca="1">IFERROR(B6+D6+F6+H6,0)</f>
        <v>0</v>
      </c>
      <c r="O6" s="39">
        <f ca="1">IFERROR(C6+E6+G6+I6,0)</f>
        <v>0</v>
      </c>
    </row>
    <row r="7" spans="1:19" ht="24" customHeight="1">
      <c r="A7" s="1" t="s">
        <v>4</v>
      </c>
      <c r="B7" s="32">
        <f ca="1">IFERROR(COUNTIFS(INDIRECT("'"&amp;#REF!&amp;"'!B:B"),$A7,INDIRECT("'"&amp;#REF!&amp;"'!C:C"),"Débito à Vista",INDIRECT("'"&amp;#REF!&amp;"'!D:D"),B1),0)</f>
        <v>0</v>
      </c>
      <c r="C7" s="33">
        <f ca="1">IFERROR(SUMIFS(INDIRECT("'"&amp;#REF!&amp;"'!E:E"),INDIRECT("'"&amp;#REF!&amp;"'!B:B"),$A7,INDIRECT("'"&amp;#REF!&amp;"'!C:C"),"Débito à Vista",INDIRECT("'"&amp;#REF!&amp;"'!D:D"),B1),0)</f>
        <v>0</v>
      </c>
      <c r="D7" s="34">
        <f ca="1">IFERROR(COUNTIFS(INDIRECT("'"&amp;#REF!&amp;"'!B:B"),$A7,INDIRECT("'"&amp;#REF!&amp;"'!C:C"),"Crédito à Vista",INDIRECT("'"&amp;#REF!&amp;"'!D:D"),B1),0)</f>
        <v>0</v>
      </c>
      <c r="E7" s="35">
        <f ca="1">IFERROR(SUMIFS(INDIRECT("'"&amp;#REF!&amp;"'!E:E"),INDIRECT("'"&amp;#REF!&amp;"'!B:B"),$A7,INDIRECT("'"&amp;#REF!&amp;"'!C:C"),"Crédito à Vista",INDIRECT("'"&amp;#REF!&amp;"'!D:D"),B1),0)</f>
        <v>0</v>
      </c>
      <c r="F7" s="57">
        <f ca="1">IFERROR(COUNTIFS(INDIRECT("'"&amp;#REF!&amp;"'!B:B"),$A7,INDIRECT("'"&amp;#REF!&amp;"'!C:C"),"Sicoob",INDIRECT("'"&amp;#REF!&amp;"'!D:D"),B1),0)</f>
        <v>0</v>
      </c>
      <c r="G7" s="58">
        <f ca="1">IFERROR(SUMIFS(INDIRECT("'"&amp;#REF!&amp;"'!E:E"),INDIRECT("'"&amp;#REF!&amp;"'!B:B"),$A7,INDIRECT("'"&amp;#REF!&amp;"'!C:C"),"Sicoob",INDIRECT("'"&amp;#REF!&amp;"'!D:D"),B1),0)</f>
        <v>0</v>
      </c>
      <c r="H7" s="57">
        <f ca="1">IFERROR(COUNTIFS(INDIRECT("'"&amp;#REF!&amp;"'!B:B"),$A7,INDIRECT("'"&amp;#REF!&amp;"'!C:C"),"Caixa",INDIRECT("'"&amp;#REF!&amp;"'!D:D"),B1),0)</f>
        <v>0</v>
      </c>
      <c r="I7" s="58">
        <f ca="1">IFERROR(SUMIFS(INDIRECT("'"&amp;#REF!&amp;"'!E:E"),INDIRECT("'"&amp;#REF!&amp;"'!B:B"),$A7,INDIRECT("'"&amp;#REF!&amp;"'!C:C"),"Caixa",INDIRECT("'"&amp;#REF!&amp;"'!D:D"),B1),0)</f>
        <v>0</v>
      </c>
      <c r="J7" s="59">
        <f ca="1">IFERROR(COUNTIFS(INDIRECT("'"&amp;#REF!&amp;"'!B:B"),$A7,INDIRECT("'"&amp;#REF!&amp;"'!C:C"),"Débito à Vista",INDIRECT("'"&amp;#REF!&amp;"'!D:D"),J1),0)</f>
        <v>0</v>
      </c>
      <c r="K7" s="60">
        <f ca="1">IFERROR(SUMIFS(INDIRECT("'"&amp;#REF!&amp;"'!E:E"),INDIRECT("'"&amp;#REF!&amp;"'!B:B"),$A7,INDIRECT("'"&amp;#REF!&amp;"'!C:C"),"Débito à Vista",INDIRECT("'"&amp;#REF!&amp;"'!D:D"),J1),0)</f>
        <v>0</v>
      </c>
      <c r="L7" s="61">
        <f ca="1">IFERROR(COUNTIFS(INDIRECT("'"&amp;#REF!&amp;"'!B:B"),$A7,INDIRECT("'"&amp;#REF!&amp;"'!C:C"),"Crédito à Vista",INDIRECT("'"&amp;#REF!&amp;"'!D:D"),J1),0)</f>
        <v>0</v>
      </c>
      <c r="M7" s="62">
        <f ca="1">IFERROR(SUMIFS(INDIRECT("'"&amp;#REF!&amp;"'!E:E"),INDIRECT("'"&amp;#REF!&amp;"'!B:B"),$A7,INDIRECT("'"&amp;#REF!&amp;"'!C:C"),"Crédito à Vista",INDIRECT("'"&amp;#REF!&amp;"'!D:D"),J1),0)</f>
        <v>0</v>
      </c>
      <c r="N7" s="38">
        <f ca="1">IFERROR(B7+D7+F7+H7,0)</f>
        <v>0</v>
      </c>
      <c r="O7" s="39">
        <f ca="1">IFERROR(C7+E7+G7+I7,0)</f>
        <v>0</v>
      </c>
      <c r="S7" s="71"/>
    </row>
    <row r="8" spans="1:19" ht="24" customHeight="1">
      <c r="A8" s="2" t="s">
        <v>6</v>
      </c>
      <c r="B8" s="32">
        <f ca="1">IFERROR(COUNTIFS(INDIRECT("'"&amp;#REF!&amp;"'!B:B"),$A8,INDIRECT("'"&amp;#REF!&amp;"'!C:C"),"Débito à Vista",INDIRECT("'"&amp;#REF!&amp;"'!D:D"),B1),0)</f>
        <v>0</v>
      </c>
      <c r="C8" s="33">
        <f ca="1">IFERROR(SUMIFS(INDIRECT("'"&amp;#REF!&amp;"'!E:E"),INDIRECT("'"&amp;#REF!&amp;"'!B:B"),$A8,INDIRECT("'"&amp;#REF!&amp;"'!C:C"),"Débito à Vista",INDIRECT("'"&amp;#REF!&amp;"'!D:D"),B1),0)</f>
        <v>0</v>
      </c>
      <c r="D8" s="34">
        <f ca="1">IFERROR(COUNTIFS(INDIRECT("'"&amp;#REF!&amp;"'!B:B"),$A8,INDIRECT("'"&amp;#REF!&amp;"'!C:C"),"Crédito à Vista",INDIRECT("'"&amp;#REF!&amp;"'!D:D"),B1),0)</f>
        <v>0</v>
      </c>
      <c r="E8" s="35">
        <f ca="1">IFERROR(SUMIFS(INDIRECT("'"&amp;#REF!&amp;"'!E:E"),INDIRECT("'"&amp;#REF!&amp;"'!B:B"),$A8,INDIRECT("'"&amp;#REF!&amp;"'!C:C"),"Crédito à Vista",INDIRECT("'"&amp;#REF!&amp;"'!D:D"),B1),0)</f>
        <v>0</v>
      </c>
      <c r="F8" s="57">
        <f ca="1">IFERROR(COUNTIFS(INDIRECT("'"&amp;#REF!&amp;"'!B:B"),$A8,INDIRECT("'"&amp;#REF!&amp;"'!C:C"),"Sicoob",INDIRECT("'"&amp;#REF!&amp;"'!D:D"),B1),0)</f>
        <v>0</v>
      </c>
      <c r="G8" s="58">
        <f ca="1">IFERROR(SUMIFS(INDIRECT("'"&amp;#REF!&amp;"'!E:E"),INDIRECT("'"&amp;#REF!&amp;"'!B:B"),$A8,INDIRECT("'"&amp;#REF!&amp;"'!C:C"),"Sicoob",INDIRECT("'"&amp;#REF!&amp;"'!D:D"),B1),0)</f>
        <v>0</v>
      </c>
      <c r="H8" s="57">
        <f ca="1">IFERROR(COUNTIFS(INDIRECT("'"&amp;#REF!&amp;"'!B:B"),$A8,INDIRECT("'"&amp;#REF!&amp;"'!C:C"),"Caixa",INDIRECT("'"&amp;#REF!&amp;"'!D:D"),B1),0)</f>
        <v>0</v>
      </c>
      <c r="I8" s="58">
        <f ca="1">IFERROR(SUMIFS(INDIRECT("'"&amp;#REF!&amp;"'!E:E"),INDIRECT("'"&amp;#REF!&amp;"'!B:B"),$A8,INDIRECT("'"&amp;#REF!&amp;"'!C:C"),"Caixa",INDIRECT("'"&amp;#REF!&amp;"'!D:D"),B1),0)</f>
        <v>0</v>
      </c>
      <c r="J8" s="59">
        <f ca="1">IFERROR(COUNTIFS(INDIRECT("'"&amp;#REF!&amp;"'!B:B"),$A8,INDIRECT("'"&amp;#REF!&amp;"'!C:C"),"Débito à Vista",INDIRECT("'"&amp;#REF!&amp;"'!D:D"),J1),0)</f>
        <v>0</v>
      </c>
      <c r="K8" s="60">
        <f ca="1">IFERROR(SUMIFS(INDIRECT("'"&amp;#REF!&amp;"'!E:E"),INDIRECT("'"&amp;#REF!&amp;"'!B:B"),$A8,INDIRECT("'"&amp;#REF!&amp;"'!C:C"),"Débito à Vista",INDIRECT("'"&amp;#REF!&amp;"'!D:D"),J1),0)</f>
        <v>0</v>
      </c>
      <c r="L8" s="61">
        <f ca="1">IFERROR(COUNTIFS(INDIRECT("'"&amp;#REF!&amp;"'!B:B"),$A8,INDIRECT("'"&amp;#REF!&amp;"'!C:C"),"Crédito à Vista",INDIRECT("'"&amp;#REF!&amp;"'!D:D"),J1),0)</f>
        <v>0</v>
      </c>
      <c r="M8" s="62">
        <f ca="1">IFERROR(SUMIFS(INDIRECT("'"&amp;#REF!&amp;"'!E:E"),INDIRECT("'"&amp;#REF!&amp;"'!B:B"),$A8,INDIRECT("'"&amp;#REF!&amp;"'!C:C"),"Crédito à Vista",INDIRECT("'"&amp;#REF!&amp;"'!D:D"),J1),0)</f>
        <v>0</v>
      </c>
      <c r="N8" s="38">
        <f ca="1">IFERROR(B8+D8+F8+H8,0)</f>
        <v>0</v>
      </c>
      <c r="O8" s="39">
        <f ca="1">IFERROR(C8+E8+G8+I8,0)</f>
        <v>0</v>
      </c>
    </row>
    <row r="9" spans="1:19" ht="24" customHeight="1">
      <c r="A9" s="1" t="s">
        <v>8</v>
      </c>
      <c r="B9" s="32">
        <f ca="1">IFERROR(COUNTIFS(INDIRECT("'"&amp;#REF!&amp;"'!B:B"),$A9,INDIRECT("'"&amp;#REF!&amp;"'!C:C"),"Débito à Vista",INDIRECT("'"&amp;#REF!&amp;"'!D:D"),B1),0)</f>
        <v>0</v>
      </c>
      <c r="C9" s="33">
        <f ca="1">IFERROR(SUMIFS(INDIRECT("'"&amp;#REF!&amp;"'!E:E"),INDIRECT("'"&amp;#REF!&amp;"'!B:B"),$A9,INDIRECT("'"&amp;#REF!&amp;"'!C:C"),"Débito à Vista",INDIRECT("'"&amp;#REF!&amp;"'!D:D"),B1),0)</f>
        <v>0</v>
      </c>
      <c r="D9" s="34">
        <f ca="1">IFERROR(COUNTIFS(INDIRECT("'"&amp;#REF!&amp;"'!B:B"),$A9,INDIRECT("'"&amp;#REF!&amp;"'!C:C"),"Crédito à Vista",INDIRECT("'"&amp;#REF!&amp;"'!D:D"),B1),0)</f>
        <v>0</v>
      </c>
      <c r="E9" s="35">
        <f ca="1">IFERROR(SUMIFS(INDIRECT("'"&amp;#REF!&amp;"'!E:E"),INDIRECT("'"&amp;#REF!&amp;"'!B:B"),$A9,INDIRECT("'"&amp;#REF!&amp;"'!C:C"),"Crédito à Vista",INDIRECT("'"&amp;#REF!&amp;"'!D:D"),B1),0)</f>
        <v>0</v>
      </c>
      <c r="F9" s="57">
        <f ca="1">IFERROR(COUNTIFS(INDIRECT("'"&amp;#REF!&amp;"'!B:B"),$A9,INDIRECT("'"&amp;#REF!&amp;"'!C:C"),"Sicoob",INDIRECT("'"&amp;#REF!&amp;"'!D:D"),B1),0)</f>
        <v>0</v>
      </c>
      <c r="G9" s="58">
        <f ca="1">IFERROR(SUMIFS(INDIRECT("'"&amp;#REF!&amp;"'!E:E"),INDIRECT("'"&amp;#REF!&amp;"'!B:B"),$A9,INDIRECT("'"&amp;#REF!&amp;"'!C:C"),"Sicoob",INDIRECT("'"&amp;#REF!&amp;"'!D:D"),B1),0)</f>
        <v>0</v>
      </c>
      <c r="H9" s="57">
        <f ca="1">IFERROR(COUNTIFS(INDIRECT("'"&amp;#REF!&amp;"'!B:B"),$A9,INDIRECT("'"&amp;#REF!&amp;"'!C:C"),"Caixa",INDIRECT("'"&amp;#REF!&amp;"'!D:D"),B1),0)</f>
        <v>0</v>
      </c>
      <c r="I9" s="58">
        <f ca="1">IFERROR(SUMIFS(INDIRECT("'"&amp;#REF!&amp;"'!E:E"),INDIRECT("'"&amp;#REF!&amp;"'!B:B"),$A9,INDIRECT("'"&amp;#REF!&amp;"'!C:C"),"Caixa",INDIRECT("'"&amp;#REF!&amp;"'!D:D"),B1),0)</f>
        <v>0</v>
      </c>
      <c r="J9" s="59">
        <f ca="1">IFERROR(COUNTIFS(INDIRECT("'"&amp;#REF!&amp;"'!B:B"),$A9,INDIRECT("'"&amp;#REF!&amp;"'!C:C"),"Débito à Vista",INDIRECT("'"&amp;#REF!&amp;"'!D:D"),J1),0)</f>
        <v>0</v>
      </c>
      <c r="K9" s="60">
        <f ca="1">IFERROR(SUMIFS(INDIRECT("'"&amp;#REF!&amp;"'!E:E"),INDIRECT("'"&amp;#REF!&amp;"'!B:B"),$A9,INDIRECT("'"&amp;#REF!&amp;"'!C:C"),"Débito à Vista",INDIRECT("'"&amp;#REF!&amp;"'!D:D"),J1),0)</f>
        <v>0</v>
      </c>
      <c r="L9" s="61">
        <f ca="1">IFERROR(COUNTIFS(INDIRECT("'"&amp;#REF!&amp;"'!B:B"),$A9,INDIRECT("'"&amp;#REF!&amp;"'!C:C"),"Crédito à Vista",INDIRECT("'"&amp;#REF!&amp;"'!D:D"),J1),0)</f>
        <v>0</v>
      </c>
      <c r="M9" s="62">
        <f ca="1">IFERROR(SUMIFS(INDIRECT("'"&amp;#REF!&amp;"'!E:E"),INDIRECT("'"&amp;#REF!&amp;"'!B:B"),$A9,INDIRECT("'"&amp;#REF!&amp;"'!C:C"),"Crédito à Vista",INDIRECT("'"&amp;#REF!&amp;"'!D:D"),J1),0)</f>
        <v>0</v>
      </c>
      <c r="N9" s="38">
        <f ca="1">IFERROR(B9+D9+F9+H9,0)</f>
        <v>0</v>
      </c>
      <c r="O9" s="39">
        <f ca="1">IFERROR(C9+E9+G9+I9,0)</f>
        <v>0</v>
      </c>
    </row>
    <row r="10" spans="1:19" ht="24" customHeight="1">
      <c r="A10" s="2" t="s">
        <v>9</v>
      </c>
      <c r="B10" s="32">
        <f ca="1">IFERROR(COUNTIFS(INDIRECT("'"&amp;#REF!&amp;"'!B:B"),$A10,INDIRECT("'"&amp;#REF!&amp;"'!C:C"),"Débito à Vista",INDIRECT("'"&amp;#REF!&amp;"'!D:D"),B1),0)</f>
        <v>0</v>
      </c>
      <c r="C10" s="33">
        <f ca="1">IFERROR(SUMIFS(INDIRECT("'"&amp;#REF!&amp;"'!E:E"),INDIRECT("'"&amp;#REF!&amp;"'!B:B"),$A10,INDIRECT("'"&amp;#REF!&amp;"'!C:C"),"Débito à Vista",INDIRECT("'"&amp;#REF!&amp;"'!D:D"),B1),0)</f>
        <v>0</v>
      </c>
      <c r="D10" s="34">
        <f ca="1">IFERROR(COUNTIFS(INDIRECT("'"&amp;#REF!&amp;"'!B:B"),$A10,INDIRECT("'"&amp;#REF!&amp;"'!C:C"),"Crédito à Vista",INDIRECT("'"&amp;#REF!&amp;"'!D:D"),B1),0)</f>
        <v>0</v>
      </c>
      <c r="E10" s="35">
        <f ca="1">IFERROR(SUMIFS(INDIRECT("'"&amp;#REF!&amp;"'!E:E"),INDIRECT("'"&amp;#REF!&amp;"'!B:B"),$A10,INDIRECT("'"&amp;#REF!&amp;"'!C:C"),"Crédito à Vista",INDIRECT("'"&amp;#REF!&amp;"'!D:D"),B1),0)</f>
        <v>0</v>
      </c>
      <c r="F10" s="57">
        <f ca="1">IFERROR(COUNTIFS(INDIRECT("'"&amp;#REF!&amp;"'!B:B"),$A10,INDIRECT("'"&amp;#REF!&amp;"'!C:C"),"Sicoob",INDIRECT("'"&amp;#REF!&amp;"'!D:D"),B1),0)</f>
        <v>0</v>
      </c>
      <c r="G10" s="58">
        <f ca="1">IFERROR(SUMIFS(INDIRECT("'"&amp;#REF!&amp;"'!E:E"),INDIRECT("'"&amp;#REF!&amp;"'!B:B"),$A10,INDIRECT("'"&amp;#REF!&amp;"'!C:C"),"Sicoob",INDIRECT("'"&amp;#REF!&amp;"'!D:D"),B1),0)</f>
        <v>0</v>
      </c>
      <c r="H10" s="57">
        <f ca="1">IFERROR(COUNTIFS(INDIRECT("'"&amp;#REF!&amp;"'!B:B"),$A10,INDIRECT("'"&amp;#REF!&amp;"'!C:C"),"Caixa",INDIRECT("'"&amp;#REF!&amp;"'!D:D"),B1),0)</f>
        <v>0</v>
      </c>
      <c r="I10" s="58">
        <f ca="1">IFERROR(SUMIFS(INDIRECT("'"&amp;#REF!&amp;"'!E:E"),INDIRECT("'"&amp;#REF!&amp;"'!B:B"),$A10,INDIRECT("'"&amp;#REF!&amp;"'!C:C"),"Caixa",INDIRECT("'"&amp;#REF!&amp;"'!D:D"),B1),0)</f>
        <v>0</v>
      </c>
      <c r="J10" s="59">
        <f ca="1">IFERROR(COUNTIFS(INDIRECT("'"&amp;#REF!&amp;"'!B:B"),$A10,INDIRECT("'"&amp;#REF!&amp;"'!C:C"),"Débito à Vista",INDIRECT("'"&amp;#REF!&amp;"'!D:D"),J1),0)</f>
        <v>0</v>
      </c>
      <c r="K10" s="60">
        <f ca="1">IFERROR(SUMIFS(INDIRECT("'"&amp;#REF!&amp;"'!E:E"),INDIRECT("'"&amp;#REF!&amp;"'!B:B"),$A10,INDIRECT("'"&amp;#REF!&amp;"'!C:C"),"Débito à Vista",INDIRECT("'"&amp;#REF!&amp;"'!D:D"),J1),0)</f>
        <v>0</v>
      </c>
      <c r="L10" s="61">
        <f ca="1">IFERROR(COUNTIFS(INDIRECT("'"&amp;#REF!&amp;"'!B:B"),$A10,INDIRECT("'"&amp;#REF!&amp;"'!C:C"),"Crédito à Vista",INDIRECT("'"&amp;#REF!&amp;"'!D:D"),J1),0)</f>
        <v>0</v>
      </c>
      <c r="M10" s="62">
        <f ca="1">IFERROR(SUMIFS(INDIRECT("'"&amp;#REF!&amp;"'!E:E"),INDIRECT("'"&amp;#REF!&amp;"'!B:B"),$A10,INDIRECT("'"&amp;#REF!&amp;"'!C:C"),"Crédito à Vista",INDIRECT("'"&amp;#REF!&amp;"'!D:D"),J1),0)</f>
        <v>0</v>
      </c>
      <c r="N10" s="38">
        <f ca="1">IFERROR(B10+D10+F10+H10,0)</f>
        <v>0</v>
      </c>
      <c r="O10" s="39">
        <f ca="1">IFERROR(C10+E10+G10+I10,0)</f>
        <v>0</v>
      </c>
    </row>
    <row r="11" spans="1:19" ht="24" customHeight="1">
      <c r="A11" s="1" t="s">
        <v>10</v>
      </c>
      <c r="B11" s="32">
        <f ca="1">IFERROR(COUNTIFS(INDIRECT("'"&amp;#REF!&amp;"'!B:B"),$A11,INDIRECT("'"&amp;#REF!&amp;"'!C:C"),"Débito à Vista",INDIRECT("'"&amp;#REF!&amp;"'!D:D"),B1),0)</f>
        <v>0</v>
      </c>
      <c r="C11" s="33">
        <f ca="1">IFERROR(SUMIFS(INDIRECT("'"&amp;#REF!&amp;"'!E:E"),INDIRECT("'"&amp;#REF!&amp;"'!B:B"),$A11,INDIRECT("'"&amp;#REF!&amp;"'!C:C"),"Débito à Vista",INDIRECT("'"&amp;#REF!&amp;"'!D:D"),B1),0)</f>
        <v>0</v>
      </c>
      <c r="D11" s="34">
        <f ca="1">IFERROR(COUNTIFS(INDIRECT("'"&amp;#REF!&amp;"'!B:B"),$A11,INDIRECT("'"&amp;#REF!&amp;"'!C:C"),"Crédito à Vista",INDIRECT("'"&amp;#REF!&amp;"'!D:D"),B1),0)</f>
        <v>0</v>
      </c>
      <c r="E11" s="35">
        <f ca="1">IFERROR(SUMIFS(INDIRECT("'"&amp;#REF!&amp;"'!E:E"),INDIRECT("'"&amp;#REF!&amp;"'!B:B"),$A11,INDIRECT("'"&amp;#REF!&amp;"'!C:C"),"Crédito à Vista",INDIRECT("'"&amp;#REF!&amp;"'!D:D"),B1),0)</f>
        <v>0</v>
      </c>
      <c r="F11" s="57">
        <f ca="1">IFERROR(COUNTIFS(INDIRECT("'"&amp;#REF!&amp;"'!B:B"),$A11,INDIRECT("'"&amp;#REF!&amp;"'!C:C"),"Sicoob",INDIRECT("'"&amp;#REF!&amp;"'!D:D"),B1),0)</f>
        <v>0</v>
      </c>
      <c r="G11" s="58">
        <f ca="1">IFERROR(SUMIFS(INDIRECT("'"&amp;#REF!&amp;"'!E:E"),INDIRECT("'"&amp;#REF!&amp;"'!B:B"),$A11,INDIRECT("'"&amp;#REF!&amp;"'!C:C"),"Sicoob",INDIRECT("'"&amp;#REF!&amp;"'!D:D"),B1),0)</f>
        <v>0</v>
      </c>
      <c r="H11" s="57">
        <f ca="1">IFERROR(COUNTIFS(INDIRECT("'"&amp;#REF!&amp;"'!B:B"),$A11,INDIRECT("'"&amp;#REF!&amp;"'!C:C"),"Caixa",INDIRECT("'"&amp;#REF!&amp;"'!D:D"),B1),0)</f>
        <v>0</v>
      </c>
      <c r="I11" s="58">
        <f ca="1">IFERROR(SUMIFS(INDIRECT("'"&amp;#REF!&amp;"'!E:E"),INDIRECT("'"&amp;#REF!&amp;"'!B:B"),$A11,INDIRECT("'"&amp;#REF!&amp;"'!C:C"),"Caixa",INDIRECT("'"&amp;#REF!&amp;"'!D:D"),B1),0)</f>
        <v>0</v>
      </c>
      <c r="J11" s="59">
        <f ca="1">IFERROR(COUNTIFS(INDIRECT("'"&amp;#REF!&amp;"'!B:B"),$A11,INDIRECT("'"&amp;#REF!&amp;"'!C:C"),"Débito à Vista",INDIRECT("'"&amp;#REF!&amp;"'!D:D"),J1),0)</f>
        <v>0</v>
      </c>
      <c r="K11" s="60">
        <f ca="1">IFERROR(SUMIFS(INDIRECT("'"&amp;#REF!&amp;"'!E:E"),INDIRECT("'"&amp;#REF!&amp;"'!B:B"),$A11,INDIRECT("'"&amp;#REF!&amp;"'!C:C"),"Débito à Vista",INDIRECT("'"&amp;#REF!&amp;"'!D:D"),J1),0)</f>
        <v>0</v>
      </c>
      <c r="L11" s="61">
        <f ca="1">IFERROR(COUNTIFS(INDIRECT("'"&amp;#REF!&amp;"'!B:B"),$A11,INDIRECT("'"&amp;#REF!&amp;"'!C:C"),"Crédito à Vista",INDIRECT("'"&amp;#REF!&amp;"'!D:D"),J1),0)</f>
        <v>0</v>
      </c>
      <c r="M11" s="62">
        <f ca="1">IFERROR(SUMIFS(INDIRECT("'"&amp;#REF!&amp;"'!E:E"),INDIRECT("'"&amp;#REF!&amp;"'!B:B"),$A11,INDIRECT("'"&amp;#REF!&amp;"'!C:C"),"Crédito à Vista",INDIRECT("'"&amp;#REF!&amp;"'!D:D"),J1),0)</f>
        <v>0</v>
      </c>
      <c r="N11" s="38">
        <f ca="1">IFERROR(B11+D11+F11+H11,0)</f>
        <v>0</v>
      </c>
      <c r="O11" s="39">
        <f ca="1">IFERROR(C11+E11+G11+I11,0)</f>
        <v>0</v>
      </c>
    </row>
    <row r="12" spans="1:19" ht="24" customHeight="1">
      <c r="A12" s="2" t="s">
        <v>11</v>
      </c>
      <c r="B12" s="32">
        <f ca="1">IFERROR(COUNTIFS(INDIRECT("'"&amp;#REF!&amp;"'!B:B"),$A12,INDIRECT("'"&amp;#REF!&amp;"'!C:C"),"Débito à Vista",INDIRECT("'"&amp;#REF!&amp;"'!D:D"),B1),0)</f>
        <v>0</v>
      </c>
      <c r="C12" s="33">
        <f ca="1">IFERROR(SUMIFS(INDIRECT("'"&amp;#REF!&amp;"'!E:E"),INDIRECT("'"&amp;#REF!&amp;"'!B:B"),$A12,INDIRECT("'"&amp;#REF!&amp;"'!C:C"),"Débito à Vista",INDIRECT("'"&amp;#REF!&amp;"'!D:D"),B1),0)</f>
        <v>0</v>
      </c>
      <c r="D12" s="34">
        <f ca="1">IFERROR(COUNTIFS(INDIRECT("'"&amp;#REF!&amp;"'!B:B"),$A12,INDIRECT("'"&amp;#REF!&amp;"'!C:C"),"Crédito à Vista",INDIRECT("'"&amp;#REF!&amp;"'!D:D"),B1),0)</f>
        <v>0</v>
      </c>
      <c r="E12" s="35">
        <f ca="1">IFERROR(SUMIFS(INDIRECT("'"&amp;#REF!&amp;"'!E:E"),INDIRECT("'"&amp;#REF!&amp;"'!B:B"),$A12,INDIRECT("'"&amp;#REF!&amp;"'!C:C"),"Crédito à Vista",INDIRECT("'"&amp;#REF!&amp;"'!D:D"),B1),0)</f>
        <v>0</v>
      </c>
      <c r="F12" s="57">
        <f ca="1">IFERROR(COUNTIFS(INDIRECT("'"&amp;#REF!&amp;"'!B:B"),$A12,INDIRECT("'"&amp;#REF!&amp;"'!C:C"),"Sicoob",INDIRECT("'"&amp;#REF!&amp;"'!D:D"),B1),0)</f>
        <v>0</v>
      </c>
      <c r="G12" s="58">
        <f ca="1">IFERROR(SUMIFS(INDIRECT("'"&amp;#REF!&amp;"'!E:E"),INDIRECT("'"&amp;#REF!&amp;"'!B:B"),$A12,INDIRECT("'"&amp;#REF!&amp;"'!C:C"),"Sicoob",INDIRECT("'"&amp;#REF!&amp;"'!D:D"),B1),0)</f>
        <v>0</v>
      </c>
      <c r="H12" s="57">
        <f ca="1">IFERROR(COUNTIFS(INDIRECT("'"&amp;#REF!&amp;"'!B:B"),$A12,INDIRECT("'"&amp;#REF!&amp;"'!C:C"),"Caixa",INDIRECT("'"&amp;#REF!&amp;"'!D:D"),B1),0)</f>
        <v>0</v>
      </c>
      <c r="I12" s="58">
        <f ca="1">IFERROR(SUMIFS(INDIRECT("'"&amp;#REF!&amp;"'!E:E"),INDIRECT("'"&amp;#REF!&amp;"'!B:B"),$A12,INDIRECT("'"&amp;#REF!&amp;"'!C:C"),"Caixa",INDIRECT("'"&amp;#REF!&amp;"'!D:D"),B1),0)</f>
        <v>0</v>
      </c>
      <c r="J12" s="59">
        <f ca="1">IFERROR(COUNTIFS(INDIRECT("'"&amp;#REF!&amp;"'!B:B"),$A12,INDIRECT("'"&amp;#REF!&amp;"'!C:C"),"Débito à Vista",INDIRECT("'"&amp;#REF!&amp;"'!D:D"),J1),0)</f>
        <v>0</v>
      </c>
      <c r="K12" s="60">
        <f ca="1">IFERROR(SUMIFS(INDIRECT("'"&amp;#REF!&amp;"'!E:E"),INDIRECT("'"&amp;#REF!&amp;"'!B:B"),$A12,INDIRECT("'"&amp;#REF!&amp;"'!C:C"),"Débito à Vista",INDIRECT("'"&amp;#REF!&amp;"'!D:D"),J1),0)</f>
        <v>0</v>
      </c>
      <c r="L12" s="61">
        <f ca="1">IFERROR(COUNTIFS(INDIRECT("'"&amp;#REF!&amp;"'!B:B"),$A12,INDIRECT("'"&amp;#REF!&amp;"'!C:C"),"Crédito à Vista",INDIRECT("'"&amp;#REF!&amp;"'!D:D"),J1),0)</f>
        <v>0</v>
      </c>
      <c r="M12" s="62">
        <f ca="1">IFERROR(SUMIFS(INDIRECT("'"&amp;#REF!&amp;"'!E:E"),INDIRECT("'"&amp;#REF!&amp;"'!B:B"),$A12,INDIRECT("'"&amp;#REF!&amp;"'!C:C"),"Crédito à Vista",INDIRECT("'"&amp;#REF!&amp;"'!D:D"),J1),0)</f>
        <v>0</v>
      </c>
      <c r="N12" s="38">
        <f ca="1">IFERROR(B12+D12+F12+H12,0)</f>
        <v>0</v>
      </c>
      <c r="O12" s="39">
        <f ca="1">IFERROR(C12+E12+G12+I12,0)</f>
        <v>0</v>
      </c>
    </row>
    <row r="13" spans="1:19" ht="24" customHeight="1">
      <c r="A13" s="1" t="s">
        <v>12</v>
      </c>
      <c r="B13" s="32">
        <f ca="1">IFERROR(COUNTIFS(INDIRECT("'"&amp;#REF!&amp;"'!B:B"),$A13,INDIRECT("'"&amp;#REF!&amp;"'!C:C"),"Débito à Vista",INDIRECT("'"&amp;#REF!&amp;"'!D:D"),B1),0)</f>
        <v>0</v>
      </c>
      <c r="C13" s="33">
        <f ca="1">IFERROR(SUMIFS(INDIRECT("'"&amp;#REF!&amp;"'!E:E"),INDIRECT("'"&amp;#REF!&amp;"'!B:B"),$A13,INDIRECT("'"&amp;#REF!&amp;"'!C:C"),"Débito à Vista",INDIRECT("'"&amp;#REF!&amp;"'!D:D"),B1),0)</f>
        <v>0</v>
      </c>
      <c r="D13" s="34">
        <f ca="1">IFERROR(COUNTIFS(INDIRECT("'"&amp;#REF!&amp;"'!B:B"),$A13,INDIRECT("'"&amp;#REF!&amp;"'!C:C"),"Crédito à Vista",INDIRECT("'"&amp;#REF!&amp;"'!D:D"),B1),0)</f>
        <v>0</v>
      </c>
      <c r="E13" s="35">
        <f ca="1">IFERROR(SUMIFS(INDIRECT("'"&amp;#REF!&amp;"'!E:E"),INDIRECT("'"&amp;#REF!&amp;"'!B:B"),$A13,INDIRECT("'"&amp;#REF!&amp;"'!C:C"),"Crédito à Vista",INDIRECT("'"&amp;#REF!&amp;"'!D:D"),B1),0)</f>
        <v>0</v>
      </c>
      <c r="F13" s="57">
        <f ca="1">IFERROR(COUNTIFS(INDIRECT("'"&amp;#REF!&amp;"'!B:B"),$A13,INDIRECT("'"&amp;#REF!&amp;"'!C:C"),"Sicoob",INDIRECT("'"&amp;#REF!&amp;"'!D:D"),B1),0)</f>
        <v>0</v>
      </c>
      <c r="G13" s="58">
        <f ca="1">IFERROR(SUMIFS(INDIRECT("'"&amp;#REF!&amp;"'!E:E"),INDIRECT("'"&amp;#REF!&amp;"'!B:B"),$A13,INDIRECT("'"&amp;#REF!&amp;"'!C:C"),"Sicoob",INDIRECT("'"&amp;#REF!&amp;"'!D:D"),B1),0)</f>
        <v>0</v>
      </c>
      <c r="H13" s="57">
        <f ca="1">IFERROR(COUNTIFS(INDIRECT("'"&amp;#REF!&amp;"'!B:B"),$A13,INDIRECT("'"&amp;#REF!&amp;"'!C:C"),"Caixa",INDIRECT("'"&amp;#REF!&amp;"'!D:D"),B1),0)</f>
        <v>0</v>
      </c>
      <c r="I13" s="58">
        <f ca="1">IFERROR(SUMIFS(INDIRECT("'"&amp;#REF!&amp;"'!E:E"),INDIRECT("'"&amp;#REF!&amp;"'!B:B"),$A13,INDIRECT("'"&amp;#REF!&amp;"'!C:C"),"Caixa",INDIRECT("'"&amp;#REF!&amp;"'!D:D"),B1),0)</f>
        <v>0</v>
      </c>
      <c r="J13" s="59">
        <f ca="1">IFERROR(COUNTIFS(INDIRECT("'"&amp;#REF!&amp;"'!B:B"),$A13,INDIRECT("'"&amp;#REF!&amp;"'!C:C"),"Débito à Vista",INDIRECT("'"&amp;#REF!&amp;"'!D:D"),J1),0)</f>
        <v>0</v>
      </c>
      <c r="K13" s="60">
        <f ca="1">IFERROR(SUMIFS(INDIRECT("'"&amp;#REF!&amp;"'!E:E"),INDIRECT("'"&amp;#REF!&amp;"'!B:B"),$A13,INDIRECT("'"&amp;#REF!&amp;"'!C:C"),"Débito à Vista",INDIRECT("'"&amp;#REF!&amp;"'!D:D"),J1),0)</f>
        <v>0</v>
      </c>
      <c r="L13" s="61">
        <f ca="1">IFERROR(COUNTIFS(INDIRECT("'"&amp;#REF!&amp;"'!B:B"),$A13,INDIRECT("'"&amp;#REF!&amp;"'!C:C"),"Crédito à Vista",INDIRECT("'"&amp;#REF!&amp;"'!D:D"),J1),0)</f>
        <v>0</v>
      </c>
      <c r="M13" s="62">
        <f ca="1">IFERROR(SUMIFS(INDIRECT("'"&amp;#REF!&amp;"'!E:E"),INDIRECT("'"&amp;#REF!&amp;"'!B:B"),$A13,INDIRECT("'"&amp;#REF!&amp;"'!C:C"),"Crédito à Vista",INDIRECT("'"&amp;#REF!&amp;"'!D:D"),J1),0)</f>
        <v>0</v>
      </c>
      <c r="N13" s="40">
        <f ca="1">IFERROR(B13+D13+F13+H13,0)</f>
        <v>0</v>
      </c>
      <c r="O13" s="39">
        <f ca="1">IFERROR(C13+E13+G13+I13,0)</f>
        <v>0</v>
      </c>
    </row>
    <row r="14" spans="1:19" ht="24" customHeight="1">
      <c r="A14" s="2" t="s">
        <v>13</v>
      </c>
      <c r="B14" s="32">
        <f ca="1">IFERROR(COUNTIFS(INDIRECT("'"&amp;#REF!&amp;"'!B:B"),$A14,INDIRECT("'"&amp;#REF!&amp;"'!C:C"),"Débito à Vista",INDIRECT("'"&amp;#REF!&amp;"'!D:D"),B1),0)</f>
        <v>0</v>
      </c>
      <c r="C14" s="33">
        <f ca="1">IFERROR(SUMIFS(INDIRECT("'"&amp;#REF!&amp;"'!E:E"),INDIRECT("'"&amp;#REF!&amp;"'!B:B"),$A14,INDIRECT("'"&amp;#REF!&amp;"'!C:C"),"Débito à Vista",INDIRECT("'"&amp;#REF!&amp;"'!D:D"),B1),0)</f>
        <v>0</v>
      </c>
      <c r="D14" s="34">
        <f ca="1">IFERROR(COUNTIFS(INDIRECT("'"&amp;#REF!&amp;"'!B:B"),$A14,INDIRECT("'"&amp;#REF!&amp;"'!C:C"),"Crédito à Vista",INDIRECT("'"&amp;#REF!&amp;"'!D:D"),B1),0)</f>
        <v>0</v>
      </c>
      <c r="E14" s="35">
        <f ca="1">IFERROR(SUMIFS(INDIRECT("'"&amp;#REF!&amp;"'!E:E"),INDIRECT("'"&amp;#REF!&amp;"'!B:B"),$A14,INDIRECT("'"&amp;#REF!&amp;"'!C:C"),"Crédito à Vista",INDIRECT("'"&amp;#REF!&amp;"'!D:D"),B1),0)</f>
        <v>0</v>
      </c>
      <c r="F14" s="57">
        <f ca="1">IFERROR(COUNTIFS(INDIRECT("'"&amp;#REF!&amp;"'!B:B"),$A14,INDIRECT("'"&amp;#REF!&amp;"'!C:C"),"Sicoob",INDIRECT("'"&amp;#REF!&amp;"'!D:D"),B1),0)</f>
        <v>0</v>
      </c>
      <c r="G14" s="58">
        <f ca="1">IFERROR(SUMIFS(INDIRECT("'"&amp;#REF!&amp;"'!E:E"),INDIRECT("'"&amp;#REF!&amp;"'!B:B"),$A14,INDIRECT("'"&amp;#REF!&amp;"'!C:C"),"Sicoob",INDIRECT("'"&amp;#REF!&amp;"'!D:D"),B1),0)</f>
        <v>0</v>
      </c>
      <c r="H14" s="57">
        <f ca="1">IFERROR(COUNTIFS(INDIRECT("'"&amp;#REF!&amp;"'!B:B"),$A14,INDIRECT("'"&amp;#REF!&amp;"'!C:C"),"Caixa",INDIRECT("'"&amp;#REF!&amp;"'!D:D"),B1),0)</f>
        <v>0</v>
      </c>
      <c r="I14" s="58">
        <f ca="1">IFERROR(SUMIFS(INDIRECT("'"&amp;#REF!&amp;"'!E:E"),INDIRECT("'"&amp;#REF!&amp;"'!B:B"),$A14,INDIRECT("'"&amp;#REF!&amp;"'!C:C"),"Caixa",INDIRECT("'"&amp;#REF!&amp;"'!D:D"),B1),0)</f>
        <v>0</v>
      </c>
      <c r="J14" s="59">
        <f ca="1">IFERROR(COUNTIFS(INDIRECT("'"&amp;#REF!&amp;"'!B:B"),$A14,INDIRECT("'"&amp;#REF!&amp;"'!C:C"),"Débito à Vista",INDIRECT("'"&amp;#REF!&amp;"'!D:D"),J1),0)</f>
        <v>0</v>
      </c>
      <c r="K14" s="60">
        <f ca="1">IFERROR(SUMIFS(INDIRECT("'"&amp;#REF!&amp;"'!E:E"),INDIRECT("'"&amp;#REF!&amp;"'!B:B"),$A14,INDIRECT("'"&amp;#REF!&amp;"'!C:C"),"Débito à Vista",INDIRECT("'"&amp;#REF!&amp;"'!D:D"),J1),0)</f>
        <v>0</v>
      </c>
      <c r="L14" s="61">
        <f ca="1">IFERROR(COUNTIFS(INDIRECT("'"&amp;#REF!&amp;"'!B:B"),$A14,INDIRECT("'"&amp;#REF!&amp;"'!C:C"),"Crédito à Vista",INDIRECT("'"&amp;#REF!&amp;"'!D:D"),J1),0)</f>
        <v>0</v>
      </c>
      <c r="M14" s="62">
        <f ca="1">IFERROR(SUMIFS(INDIRECT("'"&amp;#REF!&amp;"'!E:E"),INDIRECT("'"&amp;#REF!&amp;"'!B:B"),$A14,INDIRECT("'"&amp;#REF!&amp;"'!C:C"),"Crédito à Vista",INDIRECT("'"&amp;#REF!&amp;"'!D:D"),J1),0)</f>
        <v>0</v>
      </c>
      <c r="N14" s="38">
        <f ca="1">IFERROR(B14+D14+F14+H14,0)</f>
        <v>0</v>
      </c>
      <c r="O14" s="39">
        <f ca="1">IFERROR(C14+E14+G14+I14,0)</f>
        <v>0</v>
      </c>
    </row>
    <row r="15" spans="1:19" ht="24" customHeight="1">
      <c r="A15" s="1" t="s">
        <v>14</v>
      </c>
      <c r="B15" s="32">
        <f ca="1">IFERROR(COUNTIFS(INDIRECT("'"&amp;#REF!&amp;"'!B:B"),$A15,INDIRECT("'"&amp;#REF!&amp;"'!C:C"),"Débito à Vista",INDIRECT("'"&amp;#REF!&amp;"'!D:D"),B1),0)</f>
        <v>0</v>
      </c>
      <c r="C15" s="33">
        <f ca="1">IFERROR(SUMIFS(INDIRECT("'"&amp;#REF!&amp;"'!E:E"),INDIRECT("'"&amp;#REF!&amp;"'!B:B"),$A15,INDIRECT("'"&amp;#REF!&amp;"'!C:C"),"Débito à Vista",INDIRECT("'"&amp;#REF!&amp;"'!D:D"),B1),0)</f>
        <v>0</v>
      </c>
      <c r="D15" s="34">
        <f ca="1">IFERROR(COUNTIFS(INDIRECT("'"&amp;#REF!&amp;"'!B:B"),$A15,INDIRECT("'"&amp;#REF!&amp;"'!C:C"),"Crédito à Vista",INDIRECT("'"&amp;#REF!&amp;"'!D:D"),B1),0)</f>
        <v>0</v>
      </c>
      <c r="E15" s="35">
        <f ca="1">IFERROR(SUMIFS(INDIRECT("'"&amp;#REF!&amp;"'!E:E"),INDIRECT("'"&amp;#REF!&amp;"'!B:B"),$A15,INDIRECT("'"&amp;#REF!&amp;"'!C:C"),"Crédito à Vista",INDIRECT("'"&amp;#REF!&amp;"'!D:D"),B1),0)</f>
        <v>0</v>
      </c>
      <c r="F15" s="57">
        <f ca="1">IFERROR(COUNTIFS(INDIRECT("'"&amp;#REF!&amp;"'!B:B"),$A15,INDIRECT("'"&amp;#REF!&amp;"'!C:C"),"Sicoob",INDIRECT("'"&amp;#REF!&amp;"'!D:D"),B1),0)</f>
        <v>0</v>
      </c>
      <c r="G15" s="58">
        <f ca="1">IFERROR(SUMIFS(INDIRECT("'"&amp;#REF!&amp;"'!E:E"),INDIRECT("'"&amp;#REF!&amp;"'!B:B"),$A15,INDIRECT("'"&amp;#REF!&amp;"'!C:C"),"Sicoob",INDIRECT("'"&amp;#REF!&amp;"'!D:D"),B1),0)</f>
        <v>0</v>
      </c>
      <c r="H15" s="57">
        <f ca="1">IFERROR(COUNTIFS(INDIRECT("'"&amp;#REF!&amp;"'!B:B"),$A15,INDIRECT("'"&amp;#REF!&amp;"'!C:C"),"Caixa",INDIRECT("'"&amp;#REF!&amp;"'!D:D"),B1),0)</f>
        <v>0</v>
      </c>
      <c r="I15" s="58">
        <f ca="1">IFERROR(SUMIFS(INDIRECT("'"&amp;#REF!&amp;"'!E:E"),INDIRECT("'"&amp;#REF!&amp;"'!B:B"),$A15,INDIRECT("'"&amp;#REF!&amp;"'!C:C"),"Caixa",INDIRECT("'"&amp;#REF!&amp;"'!D:D"),B1),0)</f>
        <v>0</v>
      </c>
      <c r="J15" s="59">
        <f ca="1">IFERROR(COUNTIFS(INDIRECT("'"&amp;#REF!&amp;"'!B:B"),$A15,INDIRECT("'"&amp;#REF!&amp;"'!C:C"),"Débito à Vista",INDIRECT("'"&amp;#REF!&amp;"'!D:D"),J1),0)</f>
        <v>0</v>
      </c>
      <c r="K15" s="60">
        <f ca="1">IFERROR(SUMIFS(INDIRECT("'"&amp;#REF!&amp;"'!E:E"),INDIRECT("'"&amp;#REF!&amp;"'!B:B"),$A15,INDIRECT("'"&amp;#REF!&amp;"'!C:C"),"Débito à Vista",INDIRECT("'"&amp;#REF!&amp;"'!D:D"),J1),0)</f>
        <v>0</v>
      </c>
      <c r="L15" s="61">
        <f ca="1">IFERROR(COUNTIFS(INDIRECT("'"&amp;#REF!&amp;"'!B:B"),$A15,INDIRECT("'"&amp;#REF!&amp;"'!C:C"),"Crédito à Vista",INDIRECT("'"&amp;#REF!&amp;"'!D:D"),J1),0)</f>
        <v>0</v>
      </c>
      <c r="M15" s="62">
        <f ca="1">IFERROR(SUMIFS(INDIRECT("'"&amp;#REF!&amp;"'!E:E"),INDIRECT("'"&amp;#REF!&amp;"'!B:B"),$A15,INDIRECT("'"&amp;#REF!&amp;"'!C:C"),"Crédito à Vista",INDIRECT("'"&amp;#REF!&amp;"'!D:D"),J1),0)</f>
        <v>0</v>
      </c>
      <c r="N15" s="38">
        <f ca="1">IFERROR(B15+D15+F15+H15,0)</f>
        <v>0</v>
      </c>
      <c r="O15" s="39">
        <f ca="1">IFERROR(C15+E15+G15+I15,0)</f>
        <v>0</v>
      </c>
    </row>
    <row r="16" spans="1:19" ht="24" customHeight="1">
      <c r="A16" s="2" t="s">
        <v>15</v>
      </c>
      <c r="B16" s="32">
        <f ca="1">IFERROR(COUNTIFS(INDIRECT("'"&amp;#REF!&amp;"'!B:B"),$A16,INDIRECT("'"&amp;#REF!&amp;"'!C:C"),"Débito à Vista",INDIRECT("'"&amp;#REF!&amp;"'!D:D"),B1),0)</f>
        <v>0</v>
      </c>
      <c r="C16" s="33">
        <f ca="1">IFERROR(SUMIFS(INDIRECT("'"&amp;#REF!&amp;"'!E:E"),INDIRECT("'"&amp;#REF!&amp;"'!B:B"),$A16,INDIRECT("'"&amp;#REF!&amp;"'!C:C"),"Débito à Vista",INDIRECT("'"&amp;#REF!&amp;"'!D:D"),B1),0)</f>
        <v>0</v>
      </c>
      <c r="D16" s="34">
        <f ca="1">IFERROR(COUNTIFS(INDIRECT("'"&amp;#REF!&amp;"'!B:B"),$A16,INDIRECT("'"&amp;#REF!&amp;"'!C:C"),"Crédito à Vista",INDIRECT("'"&amp;#REF!&amp;"'!D:D"),B1),0)</f>
        <v>0</v>
      </c>
      <c r="E16" s="35">
        <f ca="1">IFERROR(SUMIFS(INDIRECT("'"&amp;#REF!&amp;"'!E:E"),INDIRECT("'"&amp;#REF!&amp;"'!B:B"),$A16,INDIRECT("'"&amp;#REF!&amp;"'!C:C"),"Crédito à Vista",INDIRECT("'"&amp;#REF!&amp;"'!D:D"),B1),0)</f>
        <v>0</v>
      </c>
      <c r="F16" s="57">
        <f ca="1">IFERROR(COUNTIFS(INDIRECT("'"&amp;#REF!&amp;"'!B:B"),$A16,INDIRECT("'"&amp;#REF!&amp;"'!C:C"),"Sicoob",INDIRECT("'"&amp;#REF!&amp;"'!D:D"),B1),0)</f>
        <v>0</v>
      </c>
      <c r="G16" s="58">
        <f ca="1">IFERROR(SUMIFS(INDIRECT("'"&amp;#REF!&amp;"'!E:E"),INDIRECT("'"&amp;#REF!&amp;"'!B:B"),$A16,INDIRECT("'"&amp;#REF!&amp;"'!C:C"),"Sicoob",INDIRECT("'"&amp;#REF!&amp;"'!D:D"),B1),0)</f>
        <v>0</v>
      </c>
      <c r="H16" s="57">
        <f ca="1">IFERROR(COUNTIFS(INDIRECT("'"&amp;#REF!&amp;"'!B:B"),$A16,INDIRECT("'"&amp;#REF!&amp;"'!C:C"),"Caixa",INDIRECT("'"&amp;#REF!&amp;"'!D:D"),B1),0)</f>
        <v>0</v>
      </c>
      <c r="I16" s="58">
        <f ca="1">IFERROR(SUMIFS(INDIRECT("'"&amp;#REF!&amp;"'!E:E"),INDIRECT("'"&amp;#REF!&amp;"'!B:B"),$A16,INDIRECT("'"&amp;#REF!&amp;"'!C:C"),"Caixa",INDIRECT("'"&amp;#REF!&amp;"'!D:D"),B1),0)</f>
        <v>0</v>
      </c>
      <c r="J16" s="59">
        <f ca="1">IFERROR(COUNTIFS(INDIRECT("'"&amp;#REF!&amp;"'!B:B"),$A16,INDIRECT("'"&amp;#REF!&amp;"'!C:C"),"Débito à Vista",INDIRECT("'"&amp;#REF!&amp;"'!D:D"),J1),0)</f>
        <v>0</v>
      </c>
      <c r="K16" s="60">
        <f ca="1">IFERROR(SUMIFS(INDIRECT("'"&amp;#REF!&amp;"'!E:E"),INDIRECT("'"&amp;#REF!&amp;"'!B:B"),$A16,INDIRECT("'"&amp;#REF!&amp;"'!C:C"),"Débito à Vista",INDIRECT("'"&amp;#REF!&amp;"'!D:D"),J1),0)</f>
        <v>0</v>
      </c>
      <c r="L16" s="61">
        <f ca="1">IFERROR(COUNTIFS(INDIRECT("'"&amp;#REF!&amp;"'!B:B"),$A16,INDIRECT("'"&amp;#REF!&amp;"'!C:C"),"Crédito à Vista",INDIRECT("'"&amp;#REF!&amp;"'!D:D"),J1),0)</f>
        <v>0</v>
      </c>
      <c r="M16" s="62">
        <f ca="1">IFERROR(SUMIFS(INDIRECT("'"&amp;#REF!&amp;"'!E:E"),INDIRECT("'"&amp;#REF!&amp;"'!B:B"),$A16,INDIRECT("'"&amp;#REF!&amp;"'!C:C"),"Crédito à Vista",INDIRECT("'"&amp;#REF!&amp;"'!D:D"),J1),0)</f>
        <v>0</v>
      </c>
      <c r="N16" s="38">
        <f ca="1">IFERROR(B16+D16+F16+H16,0)</f>
        <v>0</v>
      </c>
      <c r="O16" s="39">
        <f ca="1">IFERROR(C16+E16+G16+I16,0)</f>
        <v>0</v>
      </c>
    </row>
    <row r="17" spans="1:15" ht="24" customHeight="1">
      <c r="A17" s="1" t="s">
        <v>16</v>
      </c>
      <c r="B17" s="32">
        <f ca="1">IFERROR(COUNTIFS(INDIRECT("'"&amp;#REF!&amp;"'!B:B"),$A17,INDIRECT("'"&amp;#REF!&amp;"'!C:C"),"Débito à Vista",INDIRECT("'"&amp;#REF!&amp;"'!D:D"),B1),0)</f>
        <v>0</v>
      </c>
      <c r="C17" s="33">
        <f ca="1">IFERROR(SUMIFS(INDIRECT("'"&amp;#REF!&amp;"'!E:E"),INDIRECT("'"&amp;#REF!&amp;"'!B:B"),$A17,INDIRECT("'"&amp;#REF!&amp;"'!C:C"),"Débito à Vista",INDIRECT("'"&amp;#REF!&amp;"'!D:D"),B1),0)</f>
        <v>0</v>
      </c>
      <c r="D17" s="34">
        <f ca="1">IFERROR(COUNTIFS(INDIRECT("'"&amp;#REF!&amp;"'!B:B"),$A17,INDIRECT("'"&amp;#REF!&amp;"'!C:C"),"Crédito à Vista",INDIRECT("'"&amp;#REF!&amp;"'!D:D"),B1),0)</f>
        <v>0</v>
      </c>
      <c r="E17" s="35">
        <f ca="1">IFERROR(SUMIFS(INDIRECT("'"&amp;#REF!&amp;"'!E:E"),INDIRECT("'"&amp;#REF!&amp;"'!B:B"),$A17,INDIRECT("'"&amp;#REF!&amp;"'!C:C"),"Crédito à Vista",INDIRECT("'"&amp;#REF!&amp;"'!D:D"),B1),0)</f>
        <v>0</v>
      </c>
      <c r="F17" s="57">
        <f ca="1">IFERROR(COUNTIFS(INDIRECT("'"&amp;#REF!&amp;"'!B:B"),$A17,INDIRECT("'"&amp;#REF!&amp;"'!C:C"),"Sicoob",INDIRECT("'"&amp;#REF!&amp;"'!D:D"),B1),0)</f>
        <v>0</v>
      </c>
      <c r="G17" s="58">
        <f ca="1">IFERROR(SUMIFS(INDIRECT("'"&amp;#REF!&amp;"'!E:E"),INDIRECT("'"&amp;#REF!&amp;"'!B:B"),$A17,INDIRECT("'"&amp;#REF!&amp;"'!C:C"),"Sicoob",INDIRECT("'"&amp;#REF!&amp;"'!D:D"),B1),0)</f>
        <v>0</v>
      </c>
      <c r="H17" s="57">
        <f ca="1">IFERROR(COUNTIFS(INDIRECT("'"&amp;#REF!&amp;"'!B:B"),$A17,INDIRECT("'"&amp;#REF!&amp;"'!C:C"),"Caixa",INDIRECT("'"&amp;#REF!&amp;"'!D:D"),B1),0)</f>
        <v>0</v>
      </c>
      <c r="I17" s="58">
        <f ca="1">IFERROR(SUMIFS(INDIRECT("'"&amp;#REF!&amp;"'!E:E"),INDIRECT("'"&amp;#REF!&amp;"'!B:B"),$A17,INDIRECT("'"&amp;#REF!&amp;"'!C:C"),"Caixa",INDIRECT("'"&amp;#REF!&amp;"'!D:D"),B1),0)</f>
        <v>0</v>
      </c>
      <c r="J17" s="59">
        <f ca="1">IFERROR(COUNTIFS(INDIRECT("'"&amp;#REF!&amp;"'!B:B"),$A17,INDIRECT("'"&amp;#REF!&amp;"'!C:C"),"Débito à Vista",INDIRECT("'"&amp;#REF!&amp;"'!D:D"),J1),0)</f>
        <v>0</v>
      </c>
      <c r="K17" s="60">
        <f ca="1">IFERROR(SUMIFS(INDIRECT("'"&amp;#REF!&amp;"'!E:E"),INDIRECT("'"&amp;#REF!&amp;"'!B:B"),$A17,INDIRECT("'"&amp;#REF!&amp;"'!C:C"),"Débito à Vista",INDIRECT("'"&amp;#REF!&amp;"'!D:D"),J1),0)</f>
        <v>0</v>
      </c>
      <c r="L17" s="61">
        <f ca="1">IFERROR(COUNTIFS(INDIRECT("'"&amp;#REF!&amp;"'!B:B"),$A17,INDIRECT("'"&amp;#REF!&amp;"'!C:C"),"Crédito à Vista",INDIRECT("'"&amp;#REF!&amp;"'!D:D"),J1),0)</f>
        <v>0</v>
      </c>
      <c r="M17" s="62">
        <f ca="1">IFERROR(SUMIFS(INDIRECT("'"&amp;#REF!&amp;"'!E:E"),INDIRECT("'"&amp;#REF!&amp;"'!B:B"),$A17,INDIRECT("'"&amp;#REF!&amp;"'!C:C"),"Crédito à Vista",INDIRECT("'"&amp;#REF!&amp;"'!D:D"),J1),0)</f>
        <v>0</v>
      </c>
      <c r="N17" s="38">
        <f ca="1">IFERROR(B17+D17+F17+H17,0)</f>
        <v>0</v>
      </c>
      <c r="O17" s="39">
        <f ca="1">IFERROR(C17+E17+G17+I17,0)</f>
        <v>0</v>
      </c>
    </row>
    <row r="18" spans="1:15" ht="24" customHeight="1">
      <c r="A18" s="2" t="s">
        <v>17</v>
      </c>
      <c r="B18" s="32">
        <f ca="1">IFERROR(COUNTIFS(INDIRECT("'"&amp;#REF!&amp;"'!B:B"),$A18,INDIRECT("'"&amp;#REF!&amp;"'!C:C"),"Débito à Vista",INDIRECT("'"&amp;#REF!&amp;"'!D:D"),B1),0)</f>
        <v>0</v>
      </c>
      <c r="C18" s="33">
        <f ca="1">IFERROR(SUMIFS(INDIRECT("'"&amp;#REF!&amp;"'!E:E"),INDIRECT("'"&amp;#REF!&amp;"'!B:B"),$A18,INDIRECT("'"&amp;#REF!&amp;"'!C:C"),"Débito à Vista",INDIRECT("'"&amp;#REF!&amp;"'!D:D"),B1),0)</f>
        <v>0</v>
      </c>
      <c r="D18" s="34">
        <f ca="1">IFERROR(COUNTIFS(INDIRECT("'"&amp;#REF!&amp;"'!B:B"),$A18,INDIRECT("'"&amp;#REF!&amp;"'!C:C"),"Crédito à Vista",INDIRECT("'"&amp;#REF!&amp;"'!D:D"),B1),0)</f>
        <v>0</v>
      </c>
      <c r="E18" s="35">
        <f ca="1">IFERROR(SUMIFS(INDIRECT("'"&amp;#REF!&amp;"'!E:E"),INDIRECT("'"&amp;#REF!&amp;"'!B:B"),$A18,INDIRECT("'"&amp;#REF!&amp;"'!C:C"),"Crédito à Vista",INDIRECT("'"&amp;#REF!&amp;"'!D:D"),B1),0)</f>
        <v>0</v>
      </c>
      <c r="F18" s="57">
        <f ca="1">IFERROR(COUNTIFS(INDIRECT("'"&amp;#REF!&amp;"'!B:B"),$A18,INDIRECT("'"&amp;#REF!&amp;"'!C:C"),"Sicoob",INDIRECT("'"&amp;#REF!&amp;"'!D:D"),B1),0)</f>
        <v>0</v>
      </c>
      <c r="G18" s="58">
        <f ca="1">IFERROR(SUMIFS(INDIRECT("'"&amp;#REF!&amp;"'!E:E"),INDIRECT("'"&amp;#REF!&amp;"'!B:B"),$A18,INDIRECT("'"&amp;#REF!&amp;"'!C:C"),"Sicoob",INDIRECT("'"&amp;#REF!&amp;"'!D:D"),B1),0)</f>
        <v>0</v>
      </c>
      <c r="H18" s="57">
        <f ca="1">IFERROR(COUNTIFS(INDIRECT("'"&amp;#REF!&amp;"'!B:B"),$A18,INDIRECT("'"&amp;#REF!&amp;"'!C:C"),"Caixa",INDIRECT("'"&amp;#REF!&amp;"'!D:D"),B1),0)</f>
        <v>0</v>
      </c>
      <c r="I18" s="58">
        <f ca="1">IFERROR(SUMIFS(INDIRECT("'"&amp;#REF!&amp;"'!E:E"),INDIRECT("'"&amp;#REF!&amp;"'!B:B"),$A18,INDIRECT("'"&amp;#REF!&amp;"'!C:C"),"Caixa",INDIRECT("'"&amp;#REF!&amp;"'!D:D"),B1),0)</f>
        <v>0</v>
      </c>
      <c r="J18" s="59">
        <f ca="1">IFERROR(COUNTIFS(INDIRECT("'"&amp;#REF!&amp;"'!B:B"),$A18,INDIRECT("'"&amp;#REF!&amp;"'!C:C"),"Débito à Vista",INDIRECT("'"&amp;#REF!&amp;"'!D:D"),J1),0)</f>
        <v>0</v>
      </c>
      <c r="K18" s="60">
        <f ca="1">IFERROR(SUMIFS(INDIRECT("'"&amp;#REF!&amp;"'!E:E"),INDIRECT("'"&amp;#REF!&amp;"'!B:B"),$A18,INDIRECT("'"&amp;#REF!&amp;"'!C:C"),"Débito à Vista",INDIRECT("'"&amp;#REF!&amp;"'!D:D"),J1),0)</f>
        <v>0</v>
      </c>
      <c r="L18" s="61">
        <f ca="1">IFERROR(COUNTIFS(INDIRECT("'"&amp;#REF!&amp;"'!B:B"),$A18,INDIRECT("'"&amp;#REF!&amp;"'!C:C"),"Crédito à Vista",INDIRECT("'"&amp;#REF!&amp;"'!D:D"),J1),0)</f>
        <v>0</v>
      </c>
      <c r="M18" s="62">
        <f ca="1">IFERROR(SUMIFS(INDIRECT("'"&amp;#REF!&amp;"'!E:E"),INDIRECT("'"&amp;#REF!&amp;"'!B:B"),$A18,INDIRECT("'"&amp;#REF!&amp;"'!C:C"),"Crédito à Vista",INDIRECT("'"&amp;#REF!&amp;"'!D:D"),J1),0)</f>
        <v>0</v>
      </c>
      <c r="N18" s="38">
        <f ca="1">IFERROR(B18+D18+F18+H18,0)</f>
        <v>0</v>
      </c>
      <c r="O18" s="39">
        <f ca="1">IFERROR(C18+E18+G18+I18,0)</f>
        <v>0</v>
      </c>
    </row>
    <row r="19" spans="1:15" ht="24" customHeight="1">
      <c r="A19" s="1" t="s">
        <v>18</v>
      </c>
      <c r="B19" s="32">
        <f ca="1">IFERROR(COUNTIFS(INDIRECT("'"&amp;#REF!&amp;"'!B:B"),$A19,INDIRECT("'"&amp;#REF!&amp;"'!C:C"),"Débito à Vista",INDIRECT("'"&amp;#REF!&amp;"'!D:D"),B1),0)</f>
        <v>0</v>
      </c>
      <c r="C19" s="33">
        <f ca="1">IFERROR(SUMIFS(INDIRECT("'"&amp;#REF!&amp;"'!E:E"),INDIRECT("'"&amp;#REF!&amp;"'!B:B"),$A19,INDIRECT("'"&amp;#REF!&amp;"'!C:C"),"Débito à Vista",INDIRECT("'"&amp;#REF!&amp;"'!D:D"),B1),0)</f>
        <v>0</v>
      </c>
      <c r="D19" s="34">
        <f ca="1">IFERROR(COUNTIFS(INDIRECT("'"&amp;#REF!&amp;"'!B:B"),$A19,INDIRECT("'"&amp;#REF!&amp;"'!C:C"),"Crédito à Vista",INDIRECT("'"&amp;#REF!&amp;"'!D:D"),B1),0)</f>
        <v>0</v>
      </c>
      <c r="E19" s="35">
        <f ca="1">IFERROR(SUMIFS(INDIRECT("'"&amp;#REF!&amp;"'!E:E"),INDIRECT("'"&amp;#REF!&amp;"'!B:B"),$A19,INDIRECT("'"&amp;#REF!&amp;"'!C:C"),"Crédito à Vista",INDIRECT("'"&amp;#REF!&amp;"'!D:D"),B1),0)</f>
        <v>0</v>
      </c>
      <c r="F19" s="57">
        <f ca="1">IFERROR(COUNTIFS(INDIRECT("'"&amp;#REF!&amp;"'!B:B"),$A19,INDIRECT("'"&amp;#REF!&amp;"'!C:C"),"Sicoob",INDIRECT("'"&amp;#REF!&amp;"'!D:D"),B1),0)</f>
        <v>0</v>
      </c>
      <c r="G19" s="58">
        <f ca="1">IFERROR(SUMIFS(INDIRECT("'"&amp;#REF!&amp;"'!E:E"),INDIRECT("'"&amp;#REF!&amp;"'!B:B"),$A19,INDIRECT("'"&amp;#REF!&amp;"'!C:C"),"Sicoob",INDIRECT("'"&amp;#REF!&amp;"'!D:D"),B1),0)</f>
        <v>0</v>
      </c>
      <c r="H19" s="57">
        <f ca="1">IFERROR(COUNTIFS(INDIRECT("'"&amp;#REF!&amp;"'!B:B"),$A19,INDIRECT("'"&amp;#REF!&amp;"'!C:C"),"Caixa",INDIRECT("'"&amp;#REF!&amp;"'!D:D"),B1),0)</f>
        <v>0</v>
      </c>
      <c r="I19" s="58">
        <f ca="1">IFERROR(SUMIFS(INDIRECT("'"&amp;#REF!&amp;"'!E:E"),INDIRECT("'"&amp;#REF!&amp;"'!B:B"),$A19,INDIRECT("'"&amp;#REF!&amp;"'!C:C"),"Caixa",INDIRECT("'"&amp;#REF!&amp;"'!D:D"),B1),0)</f>
        <v>0</v>
      </c>
      <c r="J19" s="59">
        <f ca="1">IFERROR(COUNTIFS(INDIRECT("'"&amp;#REF!&amp;"'!B:B"),$A19,INDIRECT("'"&amp;#REF!&amp;"'!C:C"),"Débito à Vista",INDIRECT("'"&amp;#REF!&amp;"'!D:D"),J1),0)</f>
        <v>0</v>
      </c>
      <c r="K19" s="60">
        <f ca="1">IFERROR(SUMIFS(INDIRECT("'"&amp;#REF!&amp;"'!E:E"),INDIRECT("'"&amp;#REF!&amp;"'!B:B"),$A19,INDIRECT("'"&amp;#REF!&amp;"'!C:C"),"Débito à Vista",INDIRECT("'"&amp;#REF!&amp;"'!D:D"),J1),0)</f>
        <v>0</v>
      </c>
      <c r="L19" s="61">
        <f ca="1">IFERROR(COUNTIFS(INDIRECT("'"&amp;#REF!&amp;"'!B:B"),$A19,INDIRECT("'"&amp;#REF!&amp;"'!C:C"),"Crédito à Vista",INDIRECT("'"&amp;#REF!&amp;"'!D:D"),J1),0)</f>
        <v>0</v>
      </c>
      <c r="M19" s="62">
        <f ca="1">IFERROR(SUMIFS(INDIRECT("'"&amp;#REF!&amp;"'!E:E"),INDIRECT("'"&amp;#REF!&amp;"'!B:B"),$A19,INDIRECT("'"&amp;#REF!&amp;"'!C:C"),"Crédito à Vista",INDIRECT("'"&amp;#REF!&amp;"'!D:D"),J1),0)</f>
        <v>0</v>
      </c>
      <c r="N19" s="38">
        <f ca="1">IFERROR(B19+D19+F19+H19,0)</f>
        <v>0</v>
      </c>
      <c r="O19" s="39">
        <f ca="1">IFERROR(C19+E19+G19+I19,0)</f>
        <v>0</v>
      </c>
    </row>
    <row r="20" spans="1:15" ht="27.75" customHeight="1">
      <c r="A20" s="1" t="s">
        <v>19</v>
      </c>
      <c r="B20" s="59">
        <f ca="1">IFERROR(COUNTIFS(INDIRECT("'"&amp;#REF!&amp;"'!B:B"),"PIX",INDIRECT("'"&amp;#REF!&amp;"'!C:C"),"Débito à Vista",INDIRECT("'"&amp;#REF!&amp;"'!D:D"),B1),0)</f>
        <v>0</v>
      </c>
      <c r="C20" s="60">
        <f ca="1">IFERROR(SUMIFS(INDIRECT("'"&amp;#REF!&amp;"'!E:E"),INDIRECT("'"&amp;#REF!&amp;"'!B:B"),"PIX",INDIRECT("'"&amp;#REF!&amp;"'!C:C"),"Débito à Vista",INDIRECT("'"&amp;#REF!&amp;"'!D:D"),B1),0)</f>
        <v>0</v>
      </c>
      <c r="D20" s="61">
        <f ca="1">IFERROR(COUNTIFS(INDIRECT("'"&amp;#REF!&amp;"'!B:B"),"PIX",INDIRECT("'"&amp;#REF!&amp;"'!C:C"),"Crédito à Vista",INDIRECT("'"&amp;#REF!&amp;"'!D:D"),B1),0)</f>
        <v>0</v>
      </c>
      <c r="E20" s="62">
        <f ca="1">IFERROR(SUMIFS(INDIRECT("'"&amp;#REF!&amp;"'!E:E"),INDIRECT("'"&amp;#REF!&amp;"'!B:B"),"PIX",INDIRECT("'"&amp;#REF!&amp;"'!C:C"),"Crédito à Vista",INDIRECT("'"&amp;#REF!&amp;"'!D:D"),B1),0)</f>
        <v>0</v>
      </c>
      <c r="F20" s="36">
        <f ca="1">IFERROR(COUNTIFS(INDIRECT("'"&amp;#REF!&amp;"'!B:B"),"PIX",INDIRECT("'"&amp;#REF!&amp;"'!C:C"),"Sicoob",INDIRECT("'"&amp;#REF!&amp;"'!D:D"),B1),0)</f>
        <v>0</v>
      </c>
      <c r="G20" s="37">
        <f ca="1">IFERROR(SUMIFS(INDIRECT("'"&amp;#REF!&amp;"'!E:E"),INDIRECT("'"&amp;#REF!&amp;"'!B:B"),"PIX",INDIRECT("'"&amp;#REF!&amp;"'!C:C"),"Sicoob",INDIRECT("'"&amp;#REF!&amp;"'!D:D"),B1),0)</f>
        <v>0</v>
      </c>
      <c r="H20" s="36">
        <f ca="1">IFERROR(COUNTIFS(INDIRECT("'"&amp;#REF!&amp;"'!B:B"),"PIX",INDIRECT("'"&amp;#REF!&amp;"'!C:C"),"Caixa",INDIRECT("'"&amp;#REF!&amp;"'!D:D"),B1),0)</f>
        <v>0</v>
      </c>
      <c r="I20" s="37">
        <f ca="1">IFERROR(SUMIFS(INDIRECT("'"&amp;#REF!&amp;"'!E:E"),INDIRECT("'"&amp;#REF!&amp;"'!B:B"),"PIX",INDIRECT("'"&amp;#REF!&amp;"'!C:C"),"Caixa",INDIRECT("'"&amp;#REF!&amp;"'!D:D"),B1),0)</f>
        <v>0</v>
      </c>
      <c r="J20" s="59">
        <f ca="1">IFERROR(COUNTIFS(INDIRECT("'"&amp;#REF!&amp;"'!B:B"),"PIX",INDIRECT("'"&amp;#REF!&amp;"'!C:C"),"Débito à Vista",INDIRECT("'"&amp;#REF!&amp;"'!D:D"),J1),0)</f>
        <v>0</v>
      </c>
      <c r="K20" s="60">
        <f ca="1">IFERROR(SUMIFS(INDIRECT("'"&amp;#REF!&amp;"'!E:E"),INDIRECT("'"&amp;#REF!&amp;"'!B:B"),"PIX",INDIRECT("'"&amp;#REF!&amp;"'!C:C"),"Débito à Vista",INDIRECT("'"&amp;#REF!&amp;"'!D:D"),J1),0)</f>
        <v>0</v>
      </c>
      <c r="L20" s="61">
        <f ca="1">IFERROR(COUNTIFS(INDIRECT("'"&amp;#REF!&amp;"'!B:B"),"PIX",INDIRECT("'"&amp;#REF!&amp;"'!C:C"),"Crédito à Vista",INDIRECT("'"&amp;#REF!&amp;"'!D:D"),J1),0)</f>
        <v>0</v>
      </c>
      <c r="M20" s="62">
        <f ca="1">IFERROR(SUMIFS(INDIRECT("'"&amp;#REF!&amp;"'!E:E"),INDIRECT("'"&amp;#REF!&amp;"'!B:B"),"PIX",INDIRECT("'"&amp;#REF!&amp;"'!C:C"),"Crédito à Vista",INDIRECT("'"&amp;#REF!&amp;"'!D:D"),J1),0)</f>
        <v>0</v>
      </c>
      <c r="N20" s="38">
        <f ca="1">IFERROR(B20+D20+F20+H20,0)</f>
        <v>0</v>
      </c>
      <c r="O20" s="39">
        <f ca="1">IFERROR(C20+E20+G20+I20,0)</f>
        <v>0</v>
      </c>
    </row>
    <row r="21" spans="1:15" ht="30" customHeight="1">
      <c r="A21" s="1" t="s">
        <v>30</v>
      </c>
      <c r="B21" s="59">
        <f ca="1">IFERROR(COUNTIFS(INDIRECT("'"&amp;#REF!&amp;"'!B:B"),"PIX",INDIRECT("'"&amp;#REF!&amp;"'!C:C"),"Débito à Vista",INDIRECT("'"&amp;#REF!&amp;"'!D:D"),B2),0)</f>
        <v>0</v>
      </c>
      <c r="C21" s="60">
        <f ca="1">IFERROR(SUMIFS(INDIRECT("'"&amp;#REF!&amp;"'!E:E"),INDIRECT("'"&amp;#REF!&amp;"'!B:B"),"PIX",INDIRECT("'"&amp;#REF!&amp;"'!C:C"),"Débito à Vista",INDIRECT("'"&amp;#REF!&amp;"'!D:D"),B2),0)</f>
        <v>0</v>
      </c>
      <c r="D21" s="61">
        <f ca="1">IFERROR(COUNTIFS(INDIRECT("'"&amp;#REF!&amp;"'!B:B"),"PIX",INDIRECT("'"&amp;#REF!&amp;"'!C:C"),"Crédito à Vista",INDIRECT("'"&amp;#REF!&amp;"'!D:D"),B2),0)</f>
        <v>0</v>
      </c>
      <c r="E21" s="62">
        <f ca="1">IFERROR(SUMIFS(INDIRECT("'"&amp;#REF!&amp;"'!E:E"),INDIRECT("'"&amp;#REF!&amp;"'!B:B"),"PIX",INDIRECT("'"&amp;#REF!&amp;"'!C:C"),"Crédito à Vista",INDIRECT("'"&amp;#REF!&amp;"'!D:D"),B2),0)</f>
        <v>0</v>
      </c>
      <c r="F21" s="57">
        <f ca="1">IFERROR(COUNTIFS(INDIRECT("'"&amp;#REF!&amp;"'!B:B"),"PIX",INDIRECT("'"&amp;#REF!&amp;"'!C:C"),"Sicoob",INDIRECT("'"&amp;#REF!&amp;"'!D:D"),B2),0)</f>
        <v>0</v>
      </c>
      <c r="G21" s="58">
        <f ca="1">IFERROR(SUMIFS(INDIRECT("'"&amp;#REF!&amp;"'!E:E"),INDIRECT("'"&amp;#REF!&amp;"'!B:B"),"PIX",INDIRECT("'"&amp;#REF!&amp;"'!C:C"),"Sicoob",INDIRECT("'"&amp;#REF!&amp;"'!D:D"),B2),0)</f>
        <v>0</v>
      </c>
      <c r="H21" s="57">
        <f ca="1">IFERROR(COUNTIFS(INDIRECT("'"&amp;#REF!&amp;"'!B:B"),"PIX",INDIRECT("'"&amp;#REF!&amp;"'!C:C"),"Caixa",INDIRECT("'"&amp;#REF!&amp;"'!D:D"),B2),0)</f>
        <v>0</v>
      </c>
      <c r="I21" s="58">
        <f ca="1">IFERROR(SUMIFS(INDIRECT("'"&amp;#REF!&amp;"'!E:E"),INDIRECT("'"&amp;#REF!&amp;"'!B:B"),"PIX",INDIRECT("'"&amp;#REF!&amp;"'!C:C"),"Caixa",INDIRECT("'"&amp;#REF!&amp;"'!D:D"),B2),0)</f>
        <v>0</v>
      </c>
      <c r="J21" s="32">
        <f ca="1">IFERROR(COUNTIFS(INDIRECT("'"&amp;#REF!&amp;"'!B:B"),"PIX",INDIRECT("'"&amp;#REF!&amp;"'!C:C"),"Débito à Vista",INDIRECT("'"&amp;#REF!&amp;"'!D:D"),J2),0)</f>
        <v>0</v>
      </c>
      <c r="K21" s="33">
        <f ca="1">IFERROR(SUMIFS(INDIRECT("'"&amp;#REF!&amp;"'!E:E"),INDIRECT("'"&amp;#REF!&amp;"'!B:B"),"PIX",INDIRECT("'"&amp;#REF!&amp;"'!C:C"),"Débito à Vista",INDIRECT("'"&amp;#REF!&amp;"'!D:D"),J2),0)</f>
        <v>0</v>
      </c>
      <c r="L21" s="34">
        <f ca="1">IFERROR(COUNTIFS(INDIRECT("'"&amp;#REF!&amp;"'!B:B"),"PIX",INDIRECT("'"&amp;#REF!&amp;"'!C:C"),"Crédito à Vista",INDIRECT("'"&amp;#REF!&amp;"'!D:D"),J2),0)</f>
        <v>0</v>
      </c>
      <c r="M21" s="35">
        <f ca="1">IFERROR(SUMIFS(INDIRECT("'"&amp;#REF!&amp;"'!E:E"),INDIRECT("'"&amp;#REF!&amp;"'!B:B"),"PIX",INDIRECT("'"&amp;#REF!&amp;"'!C:C"),"Crédito à Vista",INDIRECT("'"&amp;#REF!&amp;"'!D:D"),J2),0)</f>
        <v>0</v>
      </c>
      <c r="N21" s="38">
        <f ca="1">IFERROR(B21+D21+F21+H21,0)</f>
        <v>0</v>
      </c>
      <c r="O21" s="39">
        <f ca="1">IFERROR(C21+E21+G21+I21,0)</f>
        <v>0</v>
      </c>
    </row>
    <row r="22" spans="1:15" ht="30" customHeight="1">
      <c r="A22" s="5" t="s">
        <v>31</v>
      </c>
      <c r="B22" s="3">
        <f ca="1">IFERROR(SUM(B5:B20),0)</f>
        <v>0</v>
      </c>
      <c r="C22" s="4">
        <f ca="1">IFERROR(SUM(C5:C20),0)</f>
        <v>0</v>
      </c>
      <c r="D22" s="3">
        <f ca="1">IFERROR(SUM(D5:D20),0)</f>
        <v>0</v>
      </c>
      <c r="E22" s="4">
        <f ca="1">IFERROR(SUM(E5:E20),0)</f>
        <v>0</v>
      </c>
      <c r="F22" s="3">
        <f ca="1">IFERROR(SUM(F5:F20),0)</f>
        <v>0</v>
      </c>
      <c r="G22" s="4">
        <f ca="1">IFERROR(SUM(G5:G20),0)</f>
        <v>0</v>
      </c>
      <c r="H22" s="3">
        <f ca="1">IFERROR(SUM(H5:H20),0)</f>
        <v>0</v>
      </c>
      <c r="I22" s="4">
        <f ca="1">IFERROR(SUM(I5:I20),0)</f>
        <v>0</v>
      </c>
      <c r="J22" s="3">
        <f ca="1">IFERROR(SUM(J5:J20),0)</f>
        <v>0</v>
      </c>
      <c r="K22" s="4">
        <f ca="1">IFERROR(SUM(K5:K20),0)</f>
        <v>0</v>
      </c>
      <c r="L22" s="3">
        <f ca="1">IFERROR(SUM(L5:L20),0)</f>
        <v>0</v>
      </c>
      <c r="M22" s="4">
        <f ca="1">IFERROR(SUM(M5:M20),0)</f>
        <v>0</v>
      </c>
      <c r="N22" s="6">
        <f ca="1">IFERROR(SUM(N5:N20),0)</f>
        <v>0</v>
      </c>
      <c r="O22" s="7">
        <f ca="1">IFERROR(SUM(O5:O20),0)</f>
        <v>0</v>
      </c>
    </row>
    <row r="23" spans="1:15" ht="17.25">
      <c r="A23" s="8" t="s">
        <v>32</v>
      </c>
      <c r="B23" s="9">
        <f ca="1">IFERROR(COUNTIFS(INDIRECT("'"&amp;#REF!&amp;"'!C:C"),"Débito à Vista"),0)</f>
        <v>0</v>
      </c>
      <c r="C23" s="10">
        <f ca="1">IFERROR(SUMIFS(INDIRECT("'"&amp;#REF!&amp;"'!E:E"),INDIRECT("'"&amp;#REF!&amp;"'!C:C"),"Débito à Vista"),0)</f>
        <v>0</v>
      </c>
      <c r="D23" s="9">
        <f ca="1">IFERROR(COUNTIFS(INDIRECT("'"&amp;#REF!&amp;"'!C:C"),"Crédito à Vista"),0)</f>
        <v>0</v>
      </c>
      <c r="E23" s="10">
        <f ca="1">IFERROR(SUMIFS(INDIRECT("'"&amp;#REF!&amp;"'!E:E"),INDIRECT("'"&amp;#REF!&amp;"'!C:C"),"Crédito à Vista"),0)</f>
        <v>0</v>
      </c>
      <c r="F23" s="9">
        <f ca="1">IFERROR(COUNTIFS(INDIRECT("'"&amp;#REF!&amp;"'!C:C"),"Sicoob"),0)</f>
        <v>0</v>
      </c>
      <c r="G23" s="10">
        <f ca="1">IFERROR(SUMIFS(INDIRECT("'"&amp;#REF!&amp;"'!E:E"),INDIRECT("'"&amp;#REF!&amp;"'!C:C"),"Sicoob"),0)</f>
        <v>0</v>
      </c>
      <c r="H23" s="9">
        <f ca="1">IFERROR(COUNTIFS(INDIRECT("'"&amp;#REF!&amp;"'!C:C"),"Caixa"),0)</f>
        <v>0</v>
      </c>
      <c r="I23" s="10">
        <f ca="1">IFERROR(SUMIFS(INDIRECT("'"&amp;#REF!&amp;"'!E:E"),INDIRECT("'"&amp;#REF!&amp;"'!C:C"),"Caixa"),0)</f>
        <v>0</v>
      </c>
      <c r="J23" s="9">
        <f ca="1">IFERROR(COUNTIFS(INDIRECT("'"&amp;#REF!&amp;"'!C:C"),"Sicoob"),0)</f>
        <v>0</v>
      </c>
      <c r="K23" s="10">
        <f ca="1">IFERROR(SUMIFS(INDIRECT("'"&amp;#REF!&amp;"'!E:E"),INDIRECT("'"&amp;#REF!&amp;"'!C:C"),"Sicoob"),0)</f>
        <v>0</v>
      </c>
      <c r="L23" s="9">
        <f ca="1">IFERROR(COUNTIFS(INDIRECT("'"&amp;#REF!&amp;"'!C:C"),"Caixa"),0)</f>
        <v>0</v>
      </c>
      <c r="M23" s="10">
        <f ca="1">IFERROR(SUMIFS(INDIRECT("'"&amp;#REF!&amp;"'!E:E"),INDIRECT("'"&amp;#REF!&amp;"'!C:C"),"Caixa"),0)</f>
        <v>0</v>
      </c>
      <c r="N23" s="11">
        <f ca="1">IFERROR(B23+D23+F23+H23,0)</f>
        <v>0</v>
      </c>
      <c r="O23" s="12">
        <f ca="1">IFERROR(C23+E23+G23+I23,0)</f>
        <v>0</v>
      </c>
    </row>
    <row r="27" spans="1:15">
      <c r="H27" s="63"/>
    </row>
  </sheetData>
  <mergeCells count="13">
    <mergeCell ref="D1:K1"/>
    <mergeCell ref="N2:O2"/>
    <mergeCell ref="N3:O3"/>
    <mergeCell ref="B2:E2"/>
    <mergeCell ref="F2:I2"/>
    <mergeCell ref="H3:I3"/>
    <mergeCell ref="F3:G3"/>
    <mergeCell ref="D3:E3"/>
    <mergeCell ref="B3:C3"/>
    <mergeCell ref="B1:C1"/>
    <mergeCell ref="J2:M2"/>
    <mergeCell ref="J3:K3"/>
    <mergeCell ref="L3:M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7" topLeftCell="A8" activePane="bottomLeft" state="frozen"/>
      <selection pane="bottomLeft"/>
    </sheetView>
  </sheetViews>
  <sheetFormatPr defaultRowHeight="15"/>
  <cols>
    <col min="1" max="1" width="5" customWidth="1"/>
    <col min="2" max="2" width="22" customWidth="1"/>
    <col min="3" max="3" width="18" customWidth="1"/>
    <col min="4" max="4" width="13" customWidth="1"/>
    <col min="5" max="5" width="15" customWidth="1"/>
    <col min="6" max="6" width="10" customWidth="1"/>
    <col min="7" max="7" width="13" customWidth="1"/>
  </cols>
  <sheetData>
    <row r="1" spans="1:7" ht="33.950000000000003" customHeight="1">
      <c r="A1" s="53" t="s">
        <v>33</v>
      </c>
      <c r="B1" s="77"/>
      <c r="C1" s="77"/>
      <c r="D1" s="77"/>
      <c r="E1" s="77"/>
      <c r="F1" s="77"/>
      <c r="G1" s="77"/>
    </row>
    <row r="2" spans="1:7" ht="3" customHeight="1">
      <c r="A2" s="78"/>
      <c r="B2" s="77"/>
      <c r="C2" s="77"/>
      <c r="D2" s="77"/>
      <c r="E2" s="77"/>
      <c r="F2" s="77"/>
      <c r="G2" s="77"/>
    </row>
    <row r="3" spans="1:7" ht="8.1" customHeight="1"/>
    <row r="4" spans="1:7" ht="27.95" customHeight="1">
      <c r="A4" s="55" t="s">
        <v>32</v>
      </c>
      <c r="B4" s="77"/>
      <c r="C4" s="77"/>
      <c r="D4" s="13"/>
      <c r="E4" s="14">
        <f>IFERROR(SUM(E8:E9999),0)</f>
        <v>915.56000000000006</v>
      </c>
      <c r="F4" s="13"/>
      <c r="G4" s="13"/>
    </row>
    <row r="5" spans="1:7" ht="8.1" customHeight="1"/>
    <row r="8" spans="1:7" ht="21.95" customHeight="1">
      <c r="A8" s="54" t="s">
        <v>34</v>
      </c>
      <c r="B8" s="77"/>
      <c r="C8" s="77"/>
      <c r="D8" s="77"/>
      <c r="E8" s="77"/>
      <c r="F8" s="77"/>
      <c r="G8" s="77"/>
    </row>
    <row r="9" spans="1:7" ht="20.100000000000001" customHeight="1">
      <c r="A9" s="15" t="s">
        <v>35</v>
      </c>
      <c r="B9" s="15" t="s">
        <v>36</v>
      </c>
      <c r="C9" s="15" t="s">
        <v>37</v>
      </c>
      <c r="D9" s="15" t="s">
        <v>38</v>
      </c>
      <c r="E9" s="15" t="s">
        <v>29</v>
      </c>
      <c r="F9" s="15" t="s">
        <v>39</v>
      </c>
      <c r="G9" s="15" t="s">
        <v>40</v>
      </c>
    </row>
    <row r="10" spans="1:7" ht="21.95" customHeight="1">
      <c r="A10" s="16">
        <v>1</v>
      </c>
      <c r="B10" s="17" t="s">
        <v>8</v>
      </c>
      <c r="C10" s="18" t="s">
        <v>3</v>
      </c>
      <c r="D10" s="19">
        <v>46151</v>
      </c>
      <c r="E10" s="20">
        <v>309.98</v>
      </c>
      <c r="F10" s="16" t="s">
        <v>41</v>
      </c>
      <c r="G10" s="21" t="s">
        <v>42</v>
      </c>
    </row>
    <row r="11" spans="1:7" ht="21.95" customHeight="1">
      <c r="A11" s="22">
        <v>2</v>
      </c>
      <c r="B11" s="23" t="s">
        <v>19</v>
      </c>
      <c r="C11" s="24" t="s">
        <v>5</v>
      </c>
      <c r="D11" s="25">
        <v>46151</v>
      </c>
      <c r="E11" s="26">
        <v>127.8</v>
      </c>
      <c r="F11" s="22" t="s">
        <v>43</v>
      </c>
      <c r="G11" s="27" t="s">
        <v>42</v>
      </c>
    </row>
    <row r="12" spans="1:7" ht="21.95" customHeight="1">
      <c r="A12" s="16">
        <v>3</v>
      </c>
      <c r="B12" s="17" t="s">
        <v>0</v>
      </c>
      <c r="C12" s="18" t="s">
        <v>1</v>
      </c>
      <c r="D12" s="19">
        <v>46151</v>
      </c>
      <c r="E12" s="20">
        <v>20</v>
      </c>
      <c r="F12" s="16" t="s">
        <v>44</v>
      </c>
      <c r="G12" s="21" t="s">
        <v>42</v>
      </c>
    </row>
    <row r="13" spans="1:7" ht="20.100000000000001" customHeight="1">
      <c r="A13" s="56" t="s">
        <v>45</v>
      </c>
      <c r="B13" s="77"/>
      <c r="C13" s="77"/>
      <c r="D13" s="77"/>
      <c r="E13" s="28">
        <f>SUM(E10:E12)</f>
        <v>457.78000000000003</v>
      </c>
      <c r="F13" s="29"/>
      <c r="G13" s="29"/>
    </row>
  </sheetData>
  <mergeCells count="5">
    <mergeCell ref="A1:G1"/>
    <mergeCell ref="A8:G8"/>
    <mergeCell ref="A2:G2"/>
    <mergeCell ref="A4:C4"/>
    <mergeCell ref="A13:D13"/>
  </mergeCells>
  <dataValidations count="2">
    <dataValidation type="list" allowBlank="1" showErrorMessage="1" errorTitle="Inválido" error="Use a lista." sqref="B8:B9999" xr:uid="{00000000-0002-0000-0200-000000000000}">
      <formula1>ListaBandeiras</formula1>
    </dataValidation>
    <dataValidation type="list" allowBlank="1" showErrorMessage="1" errorTitle="Inválido" error="Use a lista." sqref="C8:C9999" xr:uid="{00000000-0002-0000-0200-000001000000}">
      <formula1>ListaTipos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Rafael Xavier Oliveira</cp:lastModifiedBy>
  <cp:revision>0</cp:revision>
  <dcterms:created xsi:type="dcterms:W3CDTF">2026-05-10T01:28:14Z</dcterms:created>
  <dcterms:modified xsi:type="dcterms:W3CDTF">2026-05-10T03:29:45Z</dcterms:modified>
  <cp:category/>
  <cp:contentStatus/>
</cp:coreProperties>
</file>