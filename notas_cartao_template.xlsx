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1" activeTab="1" autoFilterDateGrouping="1"/>
  </bookViews>
  <sheets>
    <sheet xmlns:r="http://schemas.openxmlformats.org/officeDocument/2006/relationships" name="Config" sheetId="1" state="hidden" r:id="rId1"/>
    <sheet xmlns:r="http://schemas.openxmlformats.org/officeDocument/2006/relationships" name="Painel" sheetId="2" state="visible" r:id="rId2"/>
    <sheet xmlns:r="http://schemas.openxmlformats.org/officeDocument/2006/relationships" name="2026-05" sheetId="3" state="visible" r:id="rId3"/>
  </sheets>
  <definedNames>
    <definedName name="ListaBandeiras" hidden="0" function="0" vbProcedure="0">Config!$A$1:$A$16</definedName>
    <definedName name="ListaTipos" hidden="0" function="0" vbProcedure="0">Config!$B$1:$B$4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dd/mm/yyyy"/>
    <numFmt numFmtId="165" formatCode="0;\-"/>
    <numFmt numFmtId="166" formatCode="&quot;R$ &quot;#,##0.00;\-"/>
    <numFmt numFmtId="167" formatCode="R$ #,##0.00"/>
    <numFmt numFmtId="168" formatCode="yyyy-mm-dd"/>
    <numFmt numFmtId="169" formatCode="DD/MM/YYYY"/>
  </numFmts>
  <fonts count="3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B2A3B"/>
      <sz val="17"/>
    </font>
    <font>
      <name val="Calibri"/>
      <charset val="1"/>
      <family val="0"/>
      <b val="1"/>
      <color rgb="FF6C757D"/>
      <sz val="10"/>
    </font>
    <font>
      <name val="Calibri"/>
      <charset val="1"/>
      <family val="0"/>
      <b val="1"/>
      <color rgb="FF1B2A3B"/>
      <sz val="15"/>
    </font>
    <font>
      <name val="Calibri"/>
      <charset val="1"/>
      <family val="0"/>
      <color rgb="FFADB5BD"/>
      <sz val="8"/>
    </font>
    <font>
      <name val="Calibri"/>
      <charset val="1"/>
      <family val="0"/>
      <color rgb="FFFFFFFF"/>
      <sz val="8"/>
    </font>
    <font>
      <name val="Calibri"/>
      <charset val="1"/>
      <family val="0"/>
      <b val="1"/>
      <color rgb="FFFFFFFF"/>
      <sz val="9"/>
    </font>
    <font>
      <name val="Calibri"/>
      <charset val="1"/>
      <family val="0"/>
      <b val="1"/>
      <color rgb="FF1B2A3B"/>
      <sz val="10"/>
    </font>
    <font>
      <name val="Calibri"/>
      <charset val="1"/>
      <family val="0"/>
      <b val="1"/>
      <color rgb="FFFFFFFF"/>
      <sz val="10"/>
    </font>
    <font>
      <name val="Calibri"/>
      <charset val="1"/>
      <family val="0"/>
      <b val="1"/>
      <color rgb="FFFFFFFF"/>
      <sz val="8"/>
    </font>
    <font>
      <name val="Calibri"/>
      <charset val="1"/>
      <family val="0"/>
      <b val="1"/>
      <color rgb="FF1971C2"/>
      <sz val="8"/>
    </font>
    <font>
      <name val="Calibri"/>
      <charset val="1"/>
      <family val="0"/>
      <b val="1"/>
      <color rgb="FF0284C7"/>
      <sz val="8"/>
    </font>
    <font>
      <name val="Calibri"/>
      <charset val="1"/>
      <family val="0"/>
      <color rgb="FF6C757D"/>
      <sz val="10"/>
    </font>
    <font>
      <name val="Calibri"/>
      <charset val="1"/>
      <family val="0"/>
      <color rgb="FF212529"/>
      <sz val="10"/>
    </font>
    <font>
      <name val="Calibri"/>
      <charset val="1"/>
      <family val="0"/>
      <b val="1"/>
      <color rgb="FF2F9E44"/>
      <sz val="10"/>
    </font>
    <font>
      <name val="Calibri"/>
      <charset val="1"/>
      <family val="0"/>
      <b val="1"/>
      <color rgb="FFFFFFFF"/>
      <sz val="7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b val="1"/>
      <color rgb="FFFFFFFF"/>
      <sz val="13"/>
    </font>
    <font>
      <name val="Calibri"/>
      <b val="1"/>
      <color rgb="FF1B2A3B"/>
      <sz val="13"/>
    </font>
    <font>
      <name val="Calibri"/>
      <b val="1"/>
      <color rgb="FFFFFFFF"/>
      <sz val="11"/>
    </font>
    <font>
      <name val="Calibri"/>
      <b val="1"/>
      <color rgb="FFD0EBFF"/>
      <sz val="13"/>
    </font>
    <font>
      <name val="Calibri"/>
      <b val="1"/>
      <color rgb="FF1B2A3B"/>
      <sz val="10"/>
    </font>
    <font>
      <name val="Calibri"/>
      <b val="1"/>
      <color rgb="FF1971C2"/>
      <sz val="9"/>
    </font>
    <font>
      <name val="Calibri"/>
      <color rgb="FF6C757D"/>
      <sz val="9"/>
    </font>
    <font>
      <name val="Calibri"/>
      <color rgb="FF212529"/>
      <sz val="10"/>
    </font>
    <font>
      <name val="Calibri"/>
      <color rgb="FF212529"/>
      <sz val="9"/>
    </font>
    <font>
      <name val="Calibri"/>
      <b val="1"/>
      <color rgb="FFD97706"/>
      <sz val="9"/>
    </font>
    <font>
      <name val="Calibri"/>
      <b val="1"/>
      <color rgb="FF2F9E44"/>
      <sz val="9"/>
    </font>
    <font>
      <name val="Calibri"/>
      <b val="1"/>
      <color rgb="FF2F9E44"/>
      <sz val="10"/>
    </font>
  </fonts>
  <fills count="23">
    <fill>
      <patternFill/>
    </fill>
    <fill>
      <patternFill patternType="gray125"/>
    </fill>
    <fill>
      <patternFill patternType="solid">
        <fgColor rgb="FFF8F9FA"/>
        <bgColor rgb="FFFFFFFF"/>
      </patternFill>
    </fill>
    <fill>
      <patternFill patternType="solid">
        <fgColor rgb="FFFFFFFF"/>
        <bgColor rgb="FFF8F9FA"/>
      </patternFill>
    </fill>
    <fill>
      <patternFill patternType="solid">
        <fgColor rgb="FFFFE066"/>
        <bgColor rgb="FFFFCC00"/>
      </patternFill>
    </fill>
    <fill>
      <patternFill patternType="solid">
        <fgColor rgb="FF1B2A3B"/>
        <bgColor rgb="FF212529"/>
      </patternFill>
    </fill>
    <fill>
      <patternFill patternType="solid">
        <fgColor rgb="FF1971C2"/>
        <bgColor rgb="FF0284C7"/>
      </patternFill>
    </fill>
    <fill>
      <patternFill patternType="solid">
        <fgColor rgb="FF0284C7"/>
        <bgColor rgb="FF1971C2"/>
      </patternFill>
    </fill>
    <fill>
      <patternFill patternType="solid">
        <fgColor rgb="FF1B4332"/>
        <bgColor rgb="FF1B2A3B"/>
      </patternFill>
    </fill>
    <fill>
      <patternFill patternType="solid">
        <fgColor rgb="FFD0EBFF"/>
        <bgColor rgb="FFE0F2FE"/>
      </patternFill>
    </fill>
    <fill>
      <patternFill patternType="solid">
        <fgColor rgb="FFE0F2FE"/>
        <bgColor rgb="FFE7F5FF"/>
      </patternFill>
    </fill>
    <fill>
      <patternFill patternType="solid">
        <fgColor rgb="FFE7F5FF"/>
        <bgColor rgb="FFE0F2FE"/>
      </patternFill>
    </fill>
    <fill>
      <patternFill patternType="solid">
        <fgColor rgb="FFBAE6FD"/>
        <bgColor rgb="FFD0EBFF"/>
      </patternFill>
    </fill>
    <fill>
      <patternFill patternType="solid">
        <fgColor rgb="FFE8EEF7"/>
        <bgColor rgb="FFE9ECEF"/>
      </patternFill>
    </fill>
    <fill>
      <patternFill patternType="solid">
        <fgColor rgb="FFD3F9D8"/>
        <bgColor rgb="FFE0F2FE"/>
      </patternFill>
    </fill>
    <fill>
      <patternFill patternType="solid">
        <fgColor rgb="FF4C1D95"/>
        <bgColor rgb="FF660066"/>
      </patternFill>
    </fill>
    <fill>
      <patternFill patternType="solid">
        <fgColor rgb="FFFFFFFF"/>
      </patternFill>
    </fill>
    <fill>
      <patternFill patternType="solid">
        <fgColor rgb="FF1971C2"/>
      </patternFill>
    </fill>
    <fill>
      <patternFill patternType="solid">
        <fgColor rgb="FF1B2A3B"/>
      </patternFill>
    </fill>
    <fill>
      <patternFill patternType="solid">
        <fgColor rgb="FFE7F5FF"/>
      </patternFill>
    </fill>
    <fill>
      <patternFill patternType="solid">
        <fgColor rgb="FFD0EBFF"/>
      </patternFill>
    </fill>
    <fill>
      <patternFill patternType="solid">
        <fgColor rgb="FFF1F3F5"/>
      </patternFill>
    </fill>
    <fill>
      <patternFill patternType="solid">
        <fgColor rgb="FFD3F9D8"/>
      </patternFill>
    </fill>
  </fills>
  <borders count="30">
    <border>
      <left/>
      <right/>
      <top/>
      <bottom/>
      <diagonal/>
    </border>
    <border>
      <left style="thin">
        <color rgb="FFE9ECEF"/>
      </left>
      <right/>
      <top style="thin">
        <color rgb="FFE9ECEF"/>
      </top>
      <bottom style="thin">
        <color rgb="FFE9ECEF"/>
      </bottom>
      <diagonal/>
    </border>
    <border>
      <left style="medium">
        <color rgb="FF1971C2"/>
      </left>
      <right/>
      <top style="medium">
        <color rgb="FF1971C2"/>
      </top>
      <bottom style="medium">
        <color rgb="FF1971C2"/>
      </bottom>
      <diagonal/>
    </border>
    <border>
      <left style="thin">
        <color rgb="FF1B2A3B"/>
      </left>
      <right style="thin">
        <color rgb="FF1B2A3B"/>
      </right>
      <top style="thin">
        <color rgb="FF1B2A3B"/>
      </top>
      <bottom style="thin">
        <color rgb="FF1B2A3B"/>
      </bottom>
      <diagonal/>
    </border>
    <border>
      <left style="thin">
        <color rgb="FF1971C2"/>
      </left>
      <right/>
      <top style="thin">
        <color rgb="FF1971C2"/>
      </top>
      <bottom style="thin">
        <color rgb="FF1971C2"/>
      </bottom>
      <diagonal/>
    </border>
    <border>
      <left style="thin">
        <color rgb="FF0284C7"/>
      </left>
      <right/>
      <top style="thin">
        <color rgb="FF0284C7"/>
      </top>
      <bottom style="thin">
        <color rgb="FF0284C7"/>
      </bottom>
      <diagonal/>
    </border>
    <border>
      <left style="thin">
        <color rgb="FF1B4332"/>
      </left>
      <right/>
      <top style="thin">
        <color rgb="FF1B4332"/>
      </top>
      <bottom style="thin">
        <color rgb="FF1B4332"/>
      </bottom>
      <diagonal/>
    </border>
    <border>
      <left style="thin">
        <color rgb="FF1971C2"/>
      </left>
      <right style="thin">
        <color rgb="FF1971C2"/>
      </right>
      <top style="thin">
        <color rgb="FF1971C2"/>
      </top>
      <bottom style="thin">
        <color rgb="FF1971C2"/>
      </bottom>
      <diagonal/>
    </border>
    <border>
      <left style="thin">
        <color rgb="FF0284C7"/>
      </left>
      <right style="thin">
        <color rgb="FF0284C7"/>
      </right>
      <top style="thin">
        <color rgb="FF0284C7"/>
      </top>
      <bottom style="thin">
        <color rgb="FF0284C7"/>
      </bottom>
      <diagonal/>
    </border>
    <border>
      <left style="thin">
        <color rgb="FF1B4332"/>
      </left>
      <right style="thin">
        <color rgb="FF1B4332"/>
      </right>
      <top style="thin">
        <color rgb="FF1B4332"/>
      </top>
      <bottom style="thin">
        <color rgb="FF1B4332"/>
      </bottom>
      <diagonal/>
    </border>
    <border>
      <left style="medium">
        <color rgb="FF1B2A3B"/>
      </left>
      <right style="thin">
        <color rgb="FFE9ECEF"/>
      </right>
      <top style="thin">
        <color rgb="FFE9ECEF"/>
      </top>
      <bottom style="thin">
        <color rgb="FFE9ECEF"/>
      </bottom>
      <diagonal/>
    </border>
    <border>
      <left style="thin">
        <color rgb="FFE9ECEF"/>
      </left>
      <right style="thin">
        <color rgb="FFE9ECEF"/>
      </right>
      <top style="thin">
        <color rgb="FFE9ECEF"/>
      </top>
      <bottom style="thin">
        <color rgb="FFE9ECEF"/>
      </bottom>
      <diagonal/>
    </border>
    <border>
      <left style="thin">
        <color rgb="FF2F9E44"/>
      </left>
      <right style="thin">
        <color rgb="FF2F9E44"/>
      </right>
      <top style="thin">
        <color rgb="FF2F9E44"/>
      </top>
      <bottom style="thin">
        <color rgb="FF2F9E44"/>
      </bottom>
      <diagonal/>
    </border>
    <border>
      <left style="medium">
        <color rgb="FF0284C7"/>
      </left>
      <right style="thin">
        <color rgb="FFE9ECEF"/>
      </right>
      <top style="thin">
        <color rgb="FFE9ECEF"/>
      </top>
      <bottom style="thin">
        <color rgb="FFE9ECEF"/>
      </bottom>
      <diagonal/>
    </border>
    <border>
      <left style="medium">
        <color rgb="FF1B4332"/>
      </left>
      <right style="thin">
        <color rgb="FFE9ECEF"/>
      </right>
      <top style="medium">
        <color rgb="FF1B4332"/>
      </top>
      <bottom style="medium">
        <color rgb="FF1B4332"/>
      </bottom>
      <diagonal/>
    </border>
    <border>
      <left style="medium">
        <color rgb="FF4C1D95"/>
      </left>
      <right style="thin">
        <color rgb="FFE9ECEF"/>
      </right>
      <top style="medium">
        <color rgb="FF4C1D95"/>
      </top>
      <bottom style="medium">
        <color rgb="FF4C1D95"/>
      </bottom>
      <diagonal/>
    </border>
    <border>
      <left style="thin">
        <color rgb="FF4C1D95"/>
      </left>
      <right style="thin">
        <color rgb="FF4C1D95"/>
      </right>
      <top style="thin">
        <color rgb="FF4C1D95"/>
      </top>
      <bottom style="thin">
        <color rgb="FF4C1D95"/>
      </bottom>
      <diagonal/>
    </border>
    <border>
      <left/>
      <right/>
      <top style="medium">
        <color rgb="FF1971C2"/>
      </top>
      <bottom/>
      <diagonal/>
    </border>
    <border>
      <left/>
      <right/>
      <top style="medium">
        <color rgb="FF1971C2"/>
      </top>
      <bottom style="medium">
        <color rgb="FF1971C2"/>
      </bottom>
      <diagonal/>
    </border>
    <border>
      <left/>
      <right/>
      <top style="thin">
        <color rgb="FF1971C2"/>
      </top>
      <bottom/>
      <diagonal/>
    </border>
    <border>
      <left/>
      <right/>
      <top style="thin">
        <color rgb="FF1971C2"/>
      </top>
      <bottom style="thin">
        <color rgb="FF1971C2"/>
      </bottom>
      <diagonal/>
    </border>
    <border>
      <left/>
      <right/>
      <top style="thin">
        <color rgb="FF0284C7"/>
      </top>
      <bottom/>
      <diagonal/>
    </border>
    <border>
      <left/>
      <right/>
      <top style="thin">
        <color rgb="FF0284C7"/>
      </top>
      <bottom style="thin">
        <color rgb="FF0284C7"/>
      </bottom>
      <diagonal/>
    </border>
    <border>
      <left/>
      <right/>
      <top style="thin">
        <color rgb="FF1B4332"/>
      </top>
      <bottom/>
      <diagonal/>
    </border>
    <border>
      <left/>
      <right/>
      <top style="thin">
        <color rgb="FF1B4332"/>
      </top>
      <bottom style="thin">
        <color rgb="FF1B4332"/>
      </bottom>
      <diagonal/>
    </border>
    <border>
      <left style="thin">
        <color rgb="FF1B2A3B"/>
      </left>
      <right style="thin">
        <color rgb="FF1B2A3B"/>
      </right>
      <top style="thin">
        <color rgb="FF1B2A3B"/>
      </top>
      <bottom style="thin">
        <color rgb="FF1B2A3B"/>
      </bottom>
    </border>
    <border>
      <left style="medium">
        <color rgb="FF1971C2"/>
      </left>
      <right style="thin">
        <color rgb="FFE9ECEF"/>
      </right>
      <top style="medium">
        <color rgb="FF1971C2"/>
      </top>
      <bottom style="thin">
        <color rgb="FFE9ECEF"/>
      </bottom>
    </border>
    <border>
      <left style="thin">
        <color rgb="FFE9ECEF"/>
      </left>
      <right style="thin">
        <color rgb="FFE9ECEF"/>
      </right>
      <top style="thin">
        <color rgb="FFE9ECEF"/>
      </top>
      <bottom style="medium">
        <color rgb="FF1971C2"/>
      </bottom>
    </border>
    <border>
      <left style="thin">
        <color rgb="FFE9ECEF"/>
      </left>
      <right style="thin">
        <color rgb="FFE9ECEF"/>
      </right>
      <top style="thin">
        <color rgb="FFE9ECEF"/>
      </top>
      <bottom style="thin">
        <color rgb="FFE9ECEF"/>
      </bottom>
    </border>
    <border>
      <left style="thin">
        <color rgb="FF2F9E44"/>
      </left>
      <right style="thin">
        <color rgb="FF2F9E44"/>
      </right>
      <top style="thin">
        <color rgb="FF2F9E44"/>
      </top>
      <bottom style="thin">
        <color rgb="FF2F9E44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13"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164" fontId="6" fillId="4" borderId="2" applyAlignment="1" pivotButton="0" quotePrefix="0" xfId="0">
      <alignment horizontal="center" vertical="center"/>
    </xf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9" fillId="6" borderId="4" applyAlignment="1" pivotButton="0" quotePrefix="0" xfId="0">
      <alignment horizontal="center" vertical="center"/>
    </xf>
    <xf numFmtId="0" fontId="9" fillId="7" borderId="5" applyAlignment="1" pivotButton="0" quotePrefix="0" xfId="0">
      <alignment horizontal="center" vertical="center"/>
    </xf>
    <xf numFmtId="0" fontId="9" fillId="8" borderId="6" applyAlignment="1" pivotButton="0" quotePrefix="0" xfId="0">
      <alignment horizontal="center" vertical="center"/>
    </xf>
    <xf numFmtId="0" fontId="10" fillId="9" borderId="4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11" fillId="8" borderId="6" applyAlignment="1" pivotButton="0" quotePrefix="0" xfId="0">
      <alignment horizontal="center" vertical="center"/>
    </xf>
    <xf numFmtId="0" fontId="12" fillId="5" borderId="3" applyAlignment="1" pivotButton="0" quotePrefix="0" xfId="0">
      <alignment horizontal="center" vertical="center"/>
    </xf>
    <xf numFmtId="0" fontId="13" fillId="11" borderId="7" applyAlignment="1" pivotButton="0" quotePrefix="0" xfId="0">
      <alignment horizontal="center" vertical="center"/>
    </xf>
    <xf numFmtId="0" fontId="14" fillId="1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0" fillId="13" borderId="10" applyAlignment="1" pivotButton="0" quotePrefix="0" xfId="0">
      <alignment horizontal="left" vertical="center"/>
    </xf>
    <xf numFmtId="165" fontId="15" fillId="11" borderId="11" applyAlignment="1" pivotButton="0" quotePrefix="0" xfId="0">
      <alignment horizontal="center" vertical="center"/>
    </xf>
    <xf numFmtId="166" fontId="16" fillId="11" borderId="11" applyAlignment="1" pivotButton="0" quotePrefix="0" xfId="0">
      <alignment horizontal="center" vertical="center"/>
    </xf>
    <xf numFmtId="165" fontId="15" fillId="3" borderId="11" applyAlignment="1" pivotButton="0" quotePrefix="0" xfId="0">
      <alignment horizontal="center" vertical="center"/>
    </xf>
    <xf numFmtId="166" fontId="16" fillId="3" borderId="11" applyAlignment="1" pivotButton="0" quotePrefix="0" xfId="0">
      <alignment horizontal="center" vertical="center"/>
    </xf>
    <xf numFmtId="165" fontId="15" fillId="10" borderId="11" applyAlignment="1" pivotButton="0" quotePrefix="0" xfId="0">
      <alignment horizontal="center" vertical="center"/>
    </xf>
    <xf numFmtId="166" fontId="16" fillId="10" borderId="11" applyAlignment="1" pivotButton="0" quotePrefix="0" xfId="0">
      <alignment horizontal="center" vertical="center"/>
    </xf>
    <xf numFmtId="165" fontId="17" fillId="14" borderId="12" applyAlignment="1" pivotButton="0" quotePrefix="0" xfId="0">
      <alignment horizontal="center" vertical="center"/>
    </xf>
    <xf numFmtId="166" fontId="17" fillId="14" borderId="12" applyAlignment="1" pivotButton="0" quotePrefix="0" xfId="0">
      <alignment horizontal="center" vertical="center"/>
    </xf>
    <xf numFmtId="0" fontId="10" fillId="3" borderId="10" applyAlignment="1" pivotButton="0" quotePrefix="0" xfId="0">
      <alignment horizontal="left" vertical="center"/>
    </xf>
    <xf numFmtId="0" fontId="0" fillId="7" borderId="8" applyAlignment="1" pivotButton="0" quotePrefix="0" xfId="0">
      <alignment horizontal="general" vertical="bottom"/>
    </xf>
    <xf numFmtId="0" fontId="18" fillId="7" borderId="8" applyAlignment="1" pivotButton="0" quotePrefix="0" xfId="0">
      <alignment horizontal="left" vertical="center"/>
    </xf>
    <xf numFmtId="0" fontId="0" fillId="2" borderId="8" applyAlignment="1" pivotButton="0" quotePrefix="0" xfId="0">
      <alignment horizontal="general" vertical="bottom"/>
    </xf>
    <xf numFmtId="0" fontId="11" fillId="7" borderId="13" applyAlignment="1" pivotButton="0" quotePrefix="0" xfId="0">
      <alignment horizontal="left" vertical="center"/>
    </xf>
    <xf numFmtId="165" fontId="11" fillId="8" borderId="9" applyAlignment="1" pivotButton="0" quotePrefix="0" xfId="0">
      <alignment horizontal="center" vertical="center"/>
    </xf>
    <xf numFmtId="166" fontId="11" fillId="8" borderId="9" applyAlignment="1" pivotButton="0" quotePrefix="0" xfId="0">
      <alignment horizontal="center" vertical="center"/>
    </xf>
    <xf numFmtId="0" fontId="19" fillId="8" borderId="14" applyAlignment="1" pivotButton="0" quotePrefix="0" xfId="0">
      <alignment horizontal="center" vertical="center"/>
    </xf>
    <xf numFmtId="165" fontId="19" fillId="8" borderId="9" applyAlignment="1" pivotButton="0" quotePrefix="0" xfId="0">
      <alignment horizontal="center" vertical="center"/>
    </xf>
    <xf numFmtId="166" fontId="20" fillId="8" borderId="9" applyAlignment="1" pivotButton="0" quotePrefix="0" xfId="0">
      <alignment horizontal="center" vertical="center"/>
    </xf>
    <xf numFmtId="0" fontId="0" fillId="15" borderId="0" applyAlignment="1" pivotButton="0" quotePrefix="0" xfId="0">
      <alignment horizontal="general" vertical="bottom"/>
    </xf>
    <xf numFmtId="0" fontId="19" fillId="15" borderId="15" applyAlignment="1" pivotButton="0" quotePrefix="0" xfId="0">
      <alignment horizontal="center" vertical="center"/>
    </xf>
    <xf numFmtId="165" fontId="11" fillId="15" borderId="16" applyAlignment="1" pivotButton="0" quotePrefix="0" xfId="0">
      <alignment horizontal="center" vertical="center"/>
    </xf>
    <xf numFmtId="166" fontId="11" fillId="15" borderId="16" applyAlignment="1" pivotButton="0" quotePrefix="0" xfId="0">
      <alignment horizontal="center" vertical="center"/>
    </xf>
    <xf numFmtId="165" fontId="19" fillId="15" borderId="16" applyAlignment="1" pivotButton="0" quotePrefix="0" xfId="0">
      <alignment horizontal="center" vertical="center"/>
    </xf>
    <xf numFmtId="166" fontId="20" fillId="15" borderId="16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169" fontId="6" fillId="4" borderId="2" applyAlignment="1" pivotButton="0" quotePrefix="0" xfId="0">
      <alignment horizontal="center" vertical="center"/>
    </xf>
    <xf numFmtId="0" fontId="0" fillId="0" borderId="18" pivotButton="0" quotePrefix="0" xfId="0"/>
    <xf numFmtId="0" fontId="7" fillId="2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general" vertical="bottom"/>
    </xf>
    <xf numFmtId="0" fontId="0" fillId="5" borderId="3" applyAlignment="1" pivotButton="0" quotePrefix="0" xfId="0">
      <alignment horizontal="general" vertical="bottom"/>
    </xf>
    <xf numFmtId="0" fontId="9" fillId="6" borderId="4" applyAlignment="1" pivotButton="0" quotePrefix="0" xfId="0">
      <alignment horizontal="center" vertical="center"/>
    </xf>
    <xf numFmtId="0" fontId="0" fillId="0" borderId="20" pivotButton="0" quotePrefix="0" xfId="0"/>
    <xf numFmtId="0" fontId="9" fillId="7" borderId="5" applyAlignment="1" pivotButton="0" quotePrefix="0" xfId="0">
      <alignment horizontal="center" vertical="center"/>
    </xf>
    <xf numFmtId="0" fontId="0" fillId="0" borderId="22" pivotButton="0" quotePrefix="0" xfId="0"/>
    <xf numFmtId="0" fontId="9" fillId="8" borderId="6" applyAlignment="1" pivotButton="0" quotePrefix="0" xfId="0">
      <alignment horizontal="center" vertical="center"/>
    </xf>
    <xf numFmtId="0" fontId="0" fillId="0" borderId="24" pivotButton="0" quotePrefix="0" xfId="0"/>
    <xf numFmtId="0" fontId="10" fillId="9" borderId="4" applyAlignment="1" pivotButton="0" quotePrefix="0" xfId="0">
      <alignment horizontal="center" vertical="center"/>
    </xf>
    <xf numFmtId="0" fontId="10" fillId="10" borderId="5" applyAlignment="1" pivotButton="0" quotePrefix="0" xfId="0">
      <alignment horizontal="center" vertical="center"/>
    </xf>
    <xf numFmtId="0" fontId="11" fillId="8" borderId="6" applyAlignment="1" pivotButton="0" quotePrefix="0" xfId="0">
      <alignment horizontal="center" vertical="center"/>
    </xf>
    <xf numFmtId="0" fontId="12" fillId="5" borderId="3" applyAlignment="1" pivotButton="0" quotePrefix="0" xfId="0">
      <alignment horizontal="center" vertical="center"/>
    </xf>
    <xf numFmtId="0" fontId="13" fillId="11" borderId="7" applyAlignment="1" pivotButton="0" quotePrefix="0" xfId="0">
      <alignment horizontal="center" vertical="center"/>
    </xf>
    <xf numFmtId="0" fontId="14" fillId="1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10" fillId="13" borderId="10" applyAlignment="1" pivotButton="0" quotePrefix="0" xfId="0">
      <alignment horizontal="left" vertical="center"/>
    </xf>
    <xf numFmtId="165" fontId="15" fillId="11" borderId="11" applyAlignment="1" pivotButton="0" quotePrefix="0" xfId="0">
      <alignment horizontal="center" vertical="center"/>
    </xf>
    <xf numFmtId="166" fontId="16" fillId="11" borderId="11" applyAlignment="1" pivotButton="0" quotePrefix="0" xfId="0">
      <alignment horizontal="center" vertical="center"/>
    </xf>
    <xf numFmtId="165" fontId="15" fillId="3" borderId="11" applyAlignment="1" pivotButton="0" quotePrefix="0" xfId="0">
      <alignment horizontal="center" vertical="center"/>
    </xf>
    <xf numFmtId="166" fontId="16" fillId="3" borderId="11" applyAlignment="1" pivotButton="0" quotePrefix="0" xfId="0">
      <alignment horizontal="center" vertical="center"/>
    </xf>
    <xf numFmtId="165" fontId="15" fillId="10" borderId="11" applyAlignment="1" pivotButton="0" quotePrefix="0" xfId="0">
      <alignment horizontal="center" vertical="center"/>
    </xf>
    <xf numFmtId="166" fontId="16" fillId="10" borderId="11" applyAlignment="1" pivotButton="0" quotePrefix="0" xfId="0">
      <alignment horizontal="center" vertical="center"/>
    </xf>
    <xf numFmtId="165" fontId="17" fillId="14" borderId="12" applyAlignment="1" pivotButton="0" quotePrefix="0" xfId="0">
      <alignment horizontal="center" vertical="center"/>
    </xf>
    <xf numFmtId="166" fontId="17" fillId="14" borderId="12" applyAlignment="1" pivotButton="0" quotePrefix="0" xfId="0">
      <alignment horizontal="center" vertical="center"/>
    </xf>
    <xf numFmtId="0" fontId="10" fillId="3" borderId="10" applyAlignment="1" pivotButton="0" quotePrefix="0" xfId="0">
      <alignment horizontal="left" vertical="center"/>
    </xf>
    <xf numFmtId="0" fontId="0" fillId="7" borderId="8" applyAlignment="1" pivotButton="0" quotePrefix="0" xfId="0">
      <alignment horizontal="general" vertical="bottom"/>
    </xf>
    <xf numFmtId="0" fontId="18" fillId="7" borderId="8" applyAlignment="1" pivotButton="0" quotePrefix="0" xfId="0">
      <alignment horizontal="left" vertical="center"/>
    </xf>
    <xf numFmtId="0" fontId="0" fillId="2" borderId="8" applyAlignment="1" pivotButton="0" quotePrefix="0" xfId="0">
      <alignment horizontal="general" vertical="bottom"/>
    </xf>
    <xf numFmtId="0" fontId="11" fillId="7" borderId="13" applyAlignment="1" pivotButton="0" quotePrefix="0" xfId="0">
      <alignment horizontal="left" vertical="center"/>
    </xf>
    <xf numFmtId="165" fontId="11" fillId="8" borderId="9" applyAlignment="1" pivotButton="0" quotePrefix="0" xfId="0">
      <alignment horizontal="center" vertical="center"/>
    </xf>
    <xf numFmtId="166" fontId="11" fillId="8" borderId="9" applyAlignment="1" pivotButton="0" quotePrefix="0" xfId="0">
      <alignment horizontal="center" vertical="center"/>
    </xf>
    <xf numFmtId="0" fontId="19" fillId="8" borderId="14" applyAlignment="1" pivotButton="0" quotePrefix="0" xfId="0">
      <alignment horizontal="center" vertical="center"/>
    </xf>
    <xf numFmtId="165" fontId="19" fillId="8" borderId="9" applyAlignment="1" pivotButton="0" quotePrefix="0" xfId="0">
      <alignment horizontal="center" vertical="center"/>
    </xf>
    <xf numFmtId="166" fontId="20" fillId="8" borderId="9" applyAlignment="1" pivotButton="0" quotePrefix="0" xfId="0">
      <alignment horizontal="center" vertical="center"/>
    </xf>
    <xf numFmtId="0" fontId="0" fillId="15" borderId="0" applyAlignment="1" pivotButton="0" quotePrefix="0" xfId="0">
      <alignment horizontal="general" vertical="bottom"/>
    </xf>
    <xf numFmtId="0" fontId="19" fillId="15" borderId="15" applyAlignment="1" pivotButton="0" quotePrefix="0" xfId="0">
      <alignment horizontal="center" vertical="center"/>
    </xf>
    <xf numFmtId="165" fontId="11" fillId="15" borderId="16" applyAlignment="1" pivotButton="0" quotePrefix="0" xfId="0">
      <alignment horizontal="center" vertical="center"/>
    </xf>
    <xf numFmtId="166" fontId="11" fillId="15" borderId="16" applyAlignment="1" pivotButton="0" quotePrefix="0" xfId="0">
      <alignment horizontal="center" vertical="center"/>
    </xf>
    <xf numFmtId="165" fontId="19" fillId="15" borderId="16" applyAlignment="1" pivotButton="0" quotePrefix="0" xfId="0">
      <alignment horizontal="center" vertical="center"/>
    </xf>
    <xf numFmtId="166" fontId="20" fillId="15" borderId="16" applyAlignment="1" pivotButton="0" quotePrefix="0" xfId="0">
      <alignment horizontal="center" vertical="center"/>
    </xf>
    <xf numFmtId="0" fontId="21" fillId="16" borderId="0" applyAlignment="1" pivotButton="0" quotePrefix="0" xfId="0">
      <alignment horizontal="left" vertical="center"/>
    </xf>
    <xf numFmtId="0" fontId="0" fillId="17" borderId="0" pivotButton="0" quotePrefix="0" xfId="0"/>
    <xf numFmtId="0" fontId="22" fillId="18" borderId="25" applyAlignment="1" pivotButton="0" quotePrefix="0" xfId="0">
      <alignment horizontal="left" vertical="center"/>
    </xf>
    <xf numFmtId="0" fontId="0" fillId="18" borderId="25" pivotButton="0" quotePrefix="0" xfId="0"/>
    <xf numFmtId="167" fontId="23" fillId="18" borderId="25" applyAlignment="1" pivotButton="0" quotePrefix="0" xfId="0">
      <alignment horizontal="center" vertical="center"/>
    </xf>
    <xf numFmtId="0" fontId="24" fillId="19" borderId="26" applyAlignment="1" pivotButton="0" quotePrefix="0" xfId="0">
      <alignment horizontal="left" vertical="center"/>
    </xf>
    <xf numFmtId="0" fontId="25" fillId="20" borderId="27" applyAlignment="1" pivotButton="0" quotePrefix="0" xfId="0">
      <alignment horizontal="center" vertical="center"/>
    </xf>
    <xf numFmtId="0" fontId="26" fillId="16" borderId="28" applyAlignment="1" pivotButton="0" quotePrefix="0" xfId="0">
      <alignment horizontal="center" vertical="center"/>
    </xf>
    <xf numFmtId="0" fontId="24" fillId="16" borderId="28" applyAlignment="1" pivotButton="0" quotePrefix="0" xfId="0">
      <alignment horizontal="left" vertical="center"/>
    </xf>
    <xf numFmtId="0" fontId="27" fillId="16" borderId="28" applyAlignment="1" pivotButton="0" quotePrefix="0" xfId="0">
      <alignment horizontal="center" vertical="center"/>
    </xf>
    <xf numFmtId="169" fontId="27" fillId="16" borderId="28" applyAlignment="1" pivotButton="0" quotePrefix="0" xfId="0">
      <alignment horizontal="center" vertical="center"/>
    </xf>
    <xf numFmtId="167" fontId="24" fillId="16" borderId="28" applyAlignment="1" pivotButton="0" quotePrefix="0" xfId="0">
      <alignment horizontal="center" vertical="center"/>
    </xf>
    <xf numFmtId="0" fontId="29" fillId="16" borderId="28" applyAlignment="1" pivotButton="0" quotePrefix="0" xfId="0">
      <alignment horizontal="center" vertical="center"/>
    </xf>
    <xf numFmtId="0" fontId="26" fillId="21" borderId="28" applyAlignment="1" pivotButton="0" quotePrefix="0" xfId="0">
      <alignment horizontal="center" vertical="center"/>
    </xf>
    <xf numFmtId="0" fontId="24" fillId="21" borderId="28" applyAlignment="1" pivotButton="0" quotePrefix="0" xfId="0">
      <alignment horizontal="left" vertical="center"/>
    </xf>
    <xf numFmtId="0" fontId="27" fillId="21" borderId="28" applyAlignment="1" pivotButton="0" quotePrefix="0" xfId="0">
      <alignment horizontal="center" vertical="center"/>
    </xf>
    <xf numFmtId="169" fontId="27" fillId="21" borderId="28" applyAlignment="1" pivotButton="0" quotePrefix="0" xfId="0">
      <alignment horizontal="center" vertical="center"/>
    </xf>
    <xf numFmtId="167" fontId="24" fillId="21" borderId="28" applyAlignment="1" pivotButton="0" quotePrefix="0" xfId="0">
      <alignment horizontal="center" vertical="center"/>
    </xf>
    <xf numFmtId="0" fontId="29" fillId="21" borderId="28" applyAlignment="1" pivotButton="0" quotePrefix="0" xfId="0">
      <alignment horizontal="center" vertical="center"/>
    </xf>
    <xf numFmtId="0" fontId="30" fillId="22" borderId="29" applyAlignment="1" pivotButton="0" quotePrefix="0" xfId="0">
      <alignment horizontal="left" vertical="center"/>
    </xf>
    <xf numFmtId="167" fontId="31" fillId="22" borderId="29" applyAlignment="1" pivotButton="0" quotePrefix="0" xfId="0">
      <alignment horizontal="center" vertical="center"/>
    </xf>
    <xf numFmtId="0" fontId="0" fillId="22" borderId="29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284C7"/>
      <rgbColor rgb="FFADB5BD"/>
      <rgbColor rgb="FF6C757D"/>
      <rgbColor rgb="FF9999FF"/>
      <rgbColor rgb="FF993366"/>
      <rgbColor rgb="FFF8F9FA"/>
      <rgbColor rgb="FFE0F2FE"/>
      <rgbColor rgb="FF660066"/>
      <rgbColor rgb="FFFF8080"/>
      <rgbColor rgb="FF1971C2"/>
      <rgbColor rgb="FFBAE6F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0EBFF"/>
      <rgbColor rgb="FFD3F9D8"/>
      <rgbColor rgb="FFE9ECEF"/>
      <rgbColor rgb="FFE8EEF7"/>
      <rgbColor rgb="FFFF99CC"/>
      <rgbColor rgb="FFE7F5FF"/>
      <rgbColor rgb="FFFFE06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3B"/>
      <rgbColor rgb="FF2F9E44"/>
      <rgbColor rgb="FF003300"/>
      <rgbColor rgb="FF1B4332"/>
      <rgbColor rgb="FF993300"/>
      <rgbColor rgb="FF993366"/>
      <rgbColor rgb="FF4C1D95"/>
      <rgbColor rgb="FF21252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43">
      <c r="A1" s="44" t="inlineStr">
        <is>
          <t>Visa</t>
        </is>
      </c>
      <c r="B1" s="44" t="inlineStr">
        <is>
          <t>Débito à Vista</t>
        </is>
      </c>
    </row>
    <row r="2" ht="15" customHeight="1" s="43">
      <c r="A2" s="44" t="inlineStr">
        <is>
          <t>Visa Electron</t>
        </is>
      </c>
      <c r="B2" s="44" t="inlineStr">
        <is>
          <t>Crédito à Vista</t>
        </is>
      </c>
    </row>
    <row r="3" ht="15" customHeight="1" s="43">
      <c r="A3" s="44" t="inlineStr">
        <is>
          <t>Visa Vale</t>
        </is>
      </c>
      <c r="B3" s="44" t="inlineStr">
        <is>
          <t>Sicoob</t>
        </is>
      </c>
    </row>
    <row r="4" ht="15" customHeight="1" s="43">
      <c r="A4" s="44" t="inlineStr">
        <is>
          <t>Visa Pré-pago</t>
        </is>
      </c>
      <c r="B4" s="44" t="inlineStr">
        <is>
          <t>Caixa</t>
        </is>
      </c>
    </row>
    <row r="5" ht="15" customHeight="1" s="43">
      <c r="A5" s="44" t="inlineStr">
        <is>
          <t>Mastercard</t>
        </is>
      </c>
    </row>
    <row r="6" ht="15" customHeight="1" s="43">
      <c r="A6" s="44" t="inlineStr">
        <is>
          <t>Mastercard Pré-pago</t>
        </is>
      </c>
    </row>
    <row r="7" ht="15" customHeight="1" s="43">
      <c r="A7" s="44" t="inlineStr">
        <is>
          <t>Maestro</t>
        </is>
      </c>
    </row>
    <row r="8" ht="15" customHeight="1" s="43">
      <c r="A8" s="44" t="inlineStr">
        <is>
          <t>Elo</t>
        </is>
      </c>
    </row>
    <row r="9" ht="15" customHeight="1" s="43">
      <c r="A9" s="44" t="inlineStr">
        <is>
          <t>Elo Pré-pago</t>
        </is>
      </c>
    </row>
    <row r="10" ht="15" customHeight="1" s="43">
      <c r="A10" s="44" t="inlineStr">
        <is>
          <t>Hipercard</t>
        </is>
      </c>
    </row>
    <row r="11" ht="15" customHeight="1" s="43">
      <c r="A11" s="44" t="inlineStr">
        <is>
          <t>American Express</t>
        </is>
      </c>
    </row>
    <row r="12" ht="15" customHeight="1" s="43">
      <c r="A12" s="44" t="inlineStr">
        <is>
          <t>Cabal</t>
        </is>
      </c>
    </row>
    <row r="13" ht="15" customHeight="1" s="43">
      <c r="A13" s="44" t="inlineStr">
        <is>
          <t>Cabal Pré-pago</t>
        </is>
      </c>
    </row>
    <row r="14" ht="15" customHeight="1" s="43">
      <c r="A14" s="44" t="inlineStr">
        <is>
          <t>Alelo</t>
        </is>
      </c>
    </row>
    <row r="15" ht="15" customHeight="1" s="43">
      <c r="A15" s="44" t="inlineStr">
        <is>
          <t>Diners Club</t>
        </is>
      </c>
    </row>
    <row r="16" ht="15" customHeight="1" s="43">
      <c r="A16" s="44" t="inlineStr">
        <is>
          <t>PIX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M3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baseColWidth="8" defaultColWidth="8.6796875" defaultRowHeight="15" zeroHeight="0" outlineLevelRow="0"/>
  <cols>
    <col width="1.51" customWidth="1" style="44" min="1" max="1"/>
    <col width="22" customWidth="1" style="44" min="2" max="2"/>
    <col width="6" customWidth="1" style="44" min="3" max="3"/>
    <col width="13" customWidth="1" style="44" min="4" max="4"/>
    <col width="6" customWidth="1" style="44" min="5" max="5"/>
    <col width="13" customWidth="1" style="44" min="6" max="6"/>
    <col width="6" customWidth="1" style="44" min="7" max="7"/>
    <col width="13" customWidth="1" style="44" min="8" max="8"/>
    <col width="6" customWidth="1" style="44" min="9" max="9"/>
    <col width="13" customWidth="1" style="44" min="10" max="10"/>
    <col width="6" customWidth="1" style="44" min="11" max="11"/>
    <col width="13" customWidth="1" style="44" min="12" max="12"/>
    <col width="1.51" customWidth="1" style="44" min="13" max="13"/>
  </cols>
  <sheetData>
    <row r="1" ht="7.5" customHeight="1" s="43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</row>
    <row r="2" ht="42" customHeight="1" s="43">
      <c r="A2" s="45" t="n"/>
      <c r="B2" s="46" t="inlineStr">
        <is>
          <t>Leitor de Notas  —  Resumo por Bandeira e Tipo</t>
        </is>
      </c>
      <c r="M2" s="45" t="n"/>
    </row>
    <row r="3" ht="7.5" customHeight="1" s="43">
      <c r="A3" s="45" t="n"/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</row>
    <row r="4" ht="39.75" customHeight="1" s="43">
      <c r="A4" s="45" t="n"/>
      <c r="B4" s="47" t="inlineStr">
        <is>
          <t>Data:</t>
        </is>
      </c>
      <c r="C4" s="48" t="n">
        <v>46151</v>
      </c>
      <c r="D4" s="49" t="n"/>
      <c r="E4" s="50" t="inlineStr">
        <is>
          <t>Sistema preenche automaticamente · você pode alterar para filtrar outro dia</t>
        </is>
      </c>
      <c r="M4" s="45" t="n"/>
    </row>
    <row r="5" ht="15" customHeight="1" s="43">
      <c r="A5" s="45" t="n"/>
      <c r="B5" s="45" t="n"/>
      <c r="C5" s="51">
        <f>IFERROR(TEXT(C4,"AAAA")&amp;"-"&amp;TEXT(MONTH(C4),"00"),"")</f>
        <v/>
      </c>
      <c r="D5" s="45" t="n"/>
      <c r="E5" s="45" t="n"/>
      <c r="F5" s="45" t="n"/>
      <c r="G5" s="45" t="n"/>
      <c r="H5" s="45" t="n"/>
      <c r="I5" s="45" t="n"/>
      <c r="J5" s="45" t="n"/>
      <c r="K5" s="45" t="n"/>
      <c r="L5" s="45" t="n"/>
      <c r="M5" s="45" t="n"/>
    </row>
    <row r="6" ht="9.75" customHeight="1" s="43">
      <c r="A6" s="45" t="n"/>
      <c r="B6" s="45" t="n"/>
      <c r="C6" s="45" t="n"/>
      <c r="D6" s="45" t="n"/>
      <c r="E6" s="45" t="n"/>
      <c r="F6" s="45" t="n"/>
      <c r="G6" s="45" t="n"/>
      <c r="H6" s="45" t="n"/>
      <c r="I6" s="45" t="n"/>
      <c r="J6" s="45" t="n"/>
      <c r="K6" s="45" t="n"/>
      <c r="L6" s="45" t="n"/>
      <c r="M6" s="45" t="n"/>
    </row>
    <row r="7" ht="18" customHeight="1" s="43">
      <c r="A7" s="45" t="n"/>
      <c r="B7" s="52" t="n"/>
      <c r="C7" s="53" t="inlineStr">
        <is>
          <t>CARTÕES</t>
        </is>
      </c>
      <c r="D7" s="54" t="n"/>
      <c r="E7" s="54" t="n"/>
      <c r="F7" s="54" t="n"/>
      <c r="G7" s="55" t="inlineStr">
        <is>
          <t>PIX</t>
        </is>
      </c>
      <c r="H7" s="56" t="n"/>
      <c r="I7" s="56" t="n"/>
      <c r="J7" s="56" t="n"/>
      <c r="K7" s="57" t="inlineStr">
        <is>
          <t>TOTAL</t>
        </is>
      </c>
      <c r="L7" s="58" t="n"/>
      <c r="M7" s="45" t="n"/>
    </row>
    <row r="8" ht="27.75" customHeight="1" s="43">
      <c r="A8" s="45" t="n"/>
      <c r="B8" s="52" t="n"/>
      <c r="C8" s="59" t="inlineStr">
        <is>
          <t>Débito à Vista</t>
        </is>
      </c>
      <c r="D8" s="54" t="n"/>
      <c r="E8" s="59" t="inlineStr">
        <is>
          <t>Crédito à Vista</t>
        </is>
      </c>
      <c r="F8" s="54" t="n"/>
      <c r="G8" s="60" t="inlineStr">
        <is>
          <t>Sicoob</t>
        </is>
      </c>
      <c r="H8" s="56" t="n"/>
      <c r="I8" s="60" t="inlineStr">
        <is>
          <t>Caixa</t>
        </is>
      </c>
      <c r="J8" s="56" t="n"/>
      <c r="K8" s="61" t="inlineStr">
        <is>
          <t>Total Geral</t>
        </is>
      </c>
      <c r="L8" s="58" t="n"/>
      <c r="M8" s="45" t="n"/>
    </row>
    <row r="9" ht="15.75" customHeight="1" s="43">
      <c r="A9" s="45" t="n"/>
      <c r="B9" s="62" t="inlineStr">
        <is>
          <t>Bandeira / Tipo</t>
        </is>
      </c>
      <c r="C9" s="63" t="inlineStr">
        <is>
          <t>Qtd</t>
        </is>
      </c>
      <c r="D9" s="63" t="inlineStr">
        <is>
          <t>Valor (R$)</t>
        </is>
      </c>
      <c r="E9" s="63" t="inlineStr">
        <is>
          <t>Qtd</t>
        </is>
      </c>
      <c r="F9" s="63" t="inlineStr">
        <is>
          <t>Valor (R$)</t>
        </is>
      </c>
      <c r="G9" s="64" t="inlineStr">
        <is>
          <t>Qtd</t>
        </is>
      </c>
      <c r="H9" s="64" t="inlineStr">
        <is>
          <t>Valor (R$)</t>
        </is>
      </c>
      <c r="I9" s="64" t="inlineStr">
        <is>
          <t>Qtd</t>
        </is>
      </c>
      <c r="J9" s="64" t="inlineStr">
        <is>
          <t>Valor (R$)</t>
        </is>
      </c>
      <c r="K9" s="65" t="inlineStr">
        <is>
          <t>Qtd</t>
        </is>
      </c>
      <c r="L9" s="65" t="inlineStr">
        <is>
          <t>Valor (R$)</t>
        </is>
      </c>
      <c r="M9" s="45" t="n"/>
    </row>
    <row r="10" ht="24" customHeight="1" s="43">
      <c r="A10" s="45" t="n"/>
      <c r="B10" s="66" t="inlineStr">
        <is>
          <t>Visa</t>
        </is>
      </c>
      <c r="C10" s="67">
        <f>IFERROR(COUNTIFS(INDIRECT("'"&amp;C5&amp;"'!B:B"),$B10,INDIRECT("'"&amp;C5&amp;"'!C:C"),"Débito à Vista",INDIRECT("'"&amp;C5&amp;"'!D:D"),C4),0)</f>
        <v/>
      </c>
      <c r="D10" s="68">
        <f>IFERROR(SUMIFS(INDIRECT("'"&amp;C5&amp;"'!E:E"),INDIRECT("'"&amp;C5&amp;"'!B:B"),$B10,INDIRECT("'"&amp;C5&amp;"'!C:C"),"Débito à Vista",INDIRECT("'"&amp;C5&amp;"'!D:D"),C4),0)</f>
        <v/>
      </c>
      <c r="E10" s="69">
        <f>IFERROR(COUNTIFS(INDIRECT("'"&amp;C5&amp;"'!B:B"),$B10,INDIRECT("'"&amp;C5&amp;"'!C:C"),"Crédito à Vista",INDIRECT("'"&amp;C5&amp;"'!D:D"),C4),0)</f>
        <v/>
      </c>
      <c r="F10" s="70">
        <f>IFERROR(SUMIFS(INDIRECT("'"&amp;C5&amp;"'!E:E"),INDIRECT("'"&amp;C5&amp;"'!B:B"),$B10,INDIRECT("'"&amp;C5&amp;"'!C:C"),"Crédito à Vista",INDIRECT("'"&amp;C5&amp;"'!D:D"),C4),0)</f>
        <v/>
      </c>
      <c r="G10" s="71">
        <f>IFERROR(COUNTIFS(INDIRECT("'"&amp;C5&amp;"'!B:B"),$B10,INDIRECT("'"&amp;C5&amp;"'!C:C"),"Sicoob",INDIRECT("'"&amp;C5&amp;"'!D:D"),C4),0)</f>
        <v/>
      </c>
      <c r="H10" s="72">
        <f>IFERROR(SUMIFS(INDIRECT("'"&amp;C5&amp;"'!E:E"),INDIRECT("'"&amp;C5&amp;"'!B:B"),$B10,INDIRECT("'"&amp;C5&amp;"'!C:C"),"Sicoob",INDIRECT("'"&amp;C5&amp;"'!D:D"),C4),0)</f>
        <v/>
      </c>
      <c r="I10" s="71">
        <f>IFERROR(COUNTIFS(INDIRECT("'"&amp;C5&amp;"'!B:B"),$B10,INDIRECT("'"&amp;C5&amp;"'!C:C"),"Caixa",INDIRECT("'"&amp;C5&amp;"'!D:D"),C4),0)</f>
        <v/>
      </c>
      <c r="J10" s="72">
        <f>IFERROR(SUMIFS(INDIRECT("'"&amp;C5&amp;"'!E:E"),INDIRECT("'"&amp;C5&amp;"'!B:B"),$B10,INDIRECT("'"&amp;C5&amp;"'!C:C"),"Caixa",INDIRECT("'"&amp;C5&amp;"'!D:D"),C4),0)</f>
        <v/>
      </c>
      <c r="K10" s="73">
        <f>IFERROR(C10+E10+G10+I10,0)</f>
        <v/>
      </c>
      <c r="L10" s="74">
        <f>IFERROR(D10+F10+H10+J10,0)</f>
        <v/>
      </c>
      <c r="M10" s="45" t="n"/>
    </row>
    <row r="11" ht="24" customHeight="1" s="43">
      <c r="A11" s="45" t="n"/>
      <c r="B11" s="75" t="inlineStr">
        <is>
          <t>Visa Electron</t>
        </is>
      </c>
      <c r="C11" s="67">
        <f>IFERROR(COUNTIFS(INDIRECT("'"&amp;C5&amp;"'!B:B"),$B11,INDIRECT("'"&amp;C5&amp;"'!C:C"),"Débito à Vista",INDIRECT("'"&amp;C5&amp;"'!D:D"),C4),0)</f>
        <v/>
      </c>
      <c r="D11" s="68">
        <f>IFERROR(SUMIFS(INDIRECT("'"&amp;C5&amp;"'!E:E"),INDIRECT("'"&amp;C5&amp;"'!B:B"),$B11,INDIRECT("'"&amp;C5&amp;"'!C:C"),"Débito à Vista",INDIRECT("'"&amp;C5&amp;"'!D:D"),C4),0)</f>
        <v/>
      </c>
      <c r="E11" s="69">
        <f>IFERROR(COUNTIFS(INDIRECT("'"&amp;C5&amp;"'!B:B"),$B11,INDIRECT("'"&amp;C5&amp;"'!C:C"),"Crédito à Vista",INDIRECT("'"&amp;C5&amp;"'!D:D"),C4),0)</f>
        <v/>
      </c>
      <c r="F11" s="70">
        <f>IFERROR(SUMIFS(INDIRECT("'"&amp;C5&amp;"'!E:E"),INDIRECT("'"&amp;C5&amp;"'!B:B"),$B11,INDIRECT("'"&amp;C5&amp;"'!C:C"),"Crédito à Vista",INDIRECT("'"&amp;C5&amp;"'!D:D"),C4),0)</f>
        <v/>
      </c>
      <c r="G11" s="71">
        <f>IFERROR(COUNTIFS(INDIRECT("'"&amp;C5&amp;"'!B:B"),$B11,INDIRECT("'"&amp;C5&amp;"'!C:C"),"Sicoob",INDIRECT("'"&amp;C5&amp;"'!D:D"),C4),0)</f>
        <v/>
      </c>
      <c r="H11" s="72">
        <f>IFERROR(SUMIFS(INDIRECT("'"&amp;C5&amp;"'!E:E"),INDIRECT("'"&amp;C5&amp;"'!B:B"),$B11,INDIRECT("'"&amp;C5&amp;"'!C:C"),"Sicoob",INDIRECT("'"&amp;C5&amp;"'!D:D"),C4),0)</f>
        <v/>
      </c>
      <c r="I11" s="71">
        <f>IFERROR(COUNTIFS(INDIRECT("'"&amp;C5&amp;"'!B:B"),$B11,INDIRECT("'"&amp;C5&amp;"'!C:C"),"Caixa",INDIRECT("'"&amp;C5&amp;"'!D:D"),C4),0)</f>
        <v/>
      </c>
      <c r="J11" s="72">
        <f>IFERROR(SUMIFS(INDIRECT("'"&amp;C5&amp;"'!E:E"),INDIRECT("'"&amp;C5&amp;"'!B:B"),$B11,INDIRECT("'"&amp;C5&amp;"'!C:C"),"Caixa",INDIRECT("'"&amp;C5&amp;"'!D:D"),C4),0)</f>
        <v/>
      </c>
      <c r="K11" s="73">
        <f>IFERROR(C11+E11+G11+I11,0)</f>
        <v/>
      </c>
      <c r="L11" s="74">
        <f>IFERROR(D11+F11+H11+J11,0)</f>
        <v/>
      </c>
      <c r="M11" s="45" t="n"/>
    </row>
    <row r="12" ht="24" customHeight="1" s="43">
      <c r="A12" s="45" t="n"/>
      <c r="B12" s="66" t="inlineStr">
        <is>
          <t>Visa Vale</t>
        </is>
      </c>
      <c r="C12" s="67">
        <f>IFERROR(COUNTIFS(INDIRECT("'"&amp;C5&amp;"'!B:B"),$B12,INDIRECT("'"&amp;C5&amp;"'!C:C"),"Débito à Vista",INDIRECT("'"&amp;C5&amp;"'!D:D"),C4),0)</f>
        <v/>
      </c>
      <c r="D12" s="68">
        <f>IFERROR(SUMIFS(INDIRECT("'"&amp;C5&amp;"'!E:E"),INDIRECT("'"&amp;C5&amp;"'!B:B"),$B12,INDIRECT("'"&amp;C5&amp;"'!C:C"),"Débito à Vista",INDIRECT("'"&amp;C5&amp;"'!D:D"),C4),0)</f>
        <v/>
      </c>
      <c r="E12" s="69">
        <f>IFERROR(COUNTIFS(INDIRECT("'"&amp;C5&amp;"'!B:B"),$B12,INDIRECT("'"&amp;C5&amp;"'!C:C"),"Crédito à Vista",INDIRECT("'"&amp;C5&amp;"'!D:D"),C4),0)</f>
        <v/>
      </c>
      <c r="F12" s="70">
        <f>IFERROR(SUMIFS(INDIRECT("'"&amp;C5&amp;"'!E:E"),INDIRECT("'"&amp;C5&amp;"'!B:B"),$B12,INDIRECT("'"&amp;C5&amp;"'!C:C"),"Crédito à Vista",INDIRECT("'"&amp;C5&amp;"'!D:D"),C4),0)</f>
        <v/>
      </c>
      <c r="G12" s="71">
        <f>IFERROR(COUNTIFS(INDIRECT("'"&amp;C5&amp;"'!B:B"),$B12,INDIRECT("'"&amp;C5&amp;"'!C:C"),"Sicoob",INDIRECT("'"&amp;C5&amp;"'!D:D"),C4),0)</f>
        <v/>
      </c>
      <c r="H12" s="72">
        <f>IFERROR(SUMIFS(INDIRECT("'"&amp;C5&amp;"'!E:E"),INDIRECT("'"&amp;C5&amp;"'!B:B"),$B12,INDIRECT("'"&amp;C5&amp;"'!C:C"),"Sicoob",INDIRECT("'"&amp;C5&amp;"'!D:D"),C4),0)</f>
        <v/>
      </c>
      <c r="I12" s="71">
        <f>IFERROR(COUNTIFS(INDIRECT("'"&amp;C5&amp;"'!B:B"),$B12,INDIRECT("'"&amp;C5&amp;"'!C:C"),"Caixa",INDIRECT("'"&amp;C5&amp;"'!D:D"),C4),0)</f>
        <v/>
      </c>
      <c r="J12" s="72">
        <f>IFERROR(SUMIFS(INDIRECT("'"&amp;C5&amp;"'!E:E"),INDIRECT("'"&amp;C5&amp;"'!B:B"),$B12,INDIRECT("'"&amp;C5&amp;"'!C:C"),"Caixa",INDIRECT("'"&amp;C5&amp;"'!D:D"),C4),0)</f>
        <v/>
      </c>
      <c r="K12" s="73">
        <f>IFERROR(C12+E12+G12+I12,0)</f>
        <v/>
      </c>
      <c r="L12" s="74">
        <f>IFERROR(D12+F12+H12+J12,0)</f>
        <v/>
      </c>
      <c r="M12" s="45" t="n"/>
    </row>
    <row r="13" ht="24" customHeight="1" s="43">
      <c r="A13" s="45" t="n"/>
      <c r="B13" s="75" t="inlineStr">
        <is>
          <t>Visa Pré-pago</t>
        </is>
      </c>
      <c r="C13" s="67">
        <f>IFERROR(COUNTIFS(INDIRECT("'"&amp;C5&amp;"'!B:B"),$B13,INDIRECT("'"&amp;C5&amp;"'!C:C"),"Débito à Vista",INDIRECT("'"&amp;C5&amp;"'!D:D"),C4),0)</f>
        <v/>
      </c>
      <c r="D13" s="68">
        <f>IFERROR(SUMIFS(INDIRECT("'"&amp;C5&amp;"'!E:E"),INDIRECT("'"&amp;C5&amp;"'!B:B"),$B13,INDIRECT("'"&amp;C5&amp;"'!C:C"),"Débito à Vista",INDIRECT("'"&amp;C5&amp;"'!D:D"),C4),0)</f>
        <v/>
      </c>
      <c r="E13" s="69">
        <f>IFERROR(COUNTIFS(INDIRECT("'"&amp;C5&amp;"'!B:B"),$B13,INDIRECT("'"&amp;C5&amp;"'!C:C"),"Crédito à Vista",INDIRECT("'"&amp;C5&amp;"'!D:D"),C4),0)</f>
        <v/>
      </c>
      <c r="F13" s="70">
        <f>IFERROR(SUMIFS(INDIRECT("'"&amp;C5&amp;"'!E:E"),INDIRECT("'"&amp;C5&amp;"'!B:B"),$B13,INDIRECT("'"&amp;C5&amp;"'!C:C"),"Crédito à Vista",INDIRECT("'"&amp;C5&amp;"'!D:D"),C4),0)</f>
        <v/>
      </c>
      <c r="G13" s="71">
        <f>IFERROR(COUNTIFS(INDIRECT("'"&amp;C5&amp;"'!B:B"),$B13,INDIRECT("'"&amp;C5&amp;"'!C:C"),"Sicoob",INDIRECT("'"&amp;C5&amp;"'!D:D"),C4),0)</f>
        <v/>
      </c>
      <c r="H13" s="72">
        <f>IFERROR(SUMIFS(INDIRECT("'"&amp;C5&amp;"'!E:E"),INDIRECT("'"&amp;C5&amp;"'!B:B"),$B13,INDIRECT("'"&amp;C5&amp;"'!C:C"),"Sicoob",INDIRECT("'"&amp;C5&amp;"'!D:D"),C4),0)</f>
        <v/>
      </c>
      <c r="I13" s="71">
        <f>IFERROR(COUNTIFS(INDIRECT("'"&amp;C5&amp;"'!B:B"),$B13,INDIRECT("'"&amp;C5&amp;"'!C:C"),"Caixa",INDIRECT("'"&amp;C5&amp;"'!D:D"),C4),0)</f>
        <v/>
      </c>
      <c r="J13" s="72">
        <f>IFERROR(SUMIFS(INDIRECT("'"&amp;C5&amp;"'!E:E"),INDIRECT("'"&amp;C5&amp;"'!B:B"),$B13,INDIRECT("'"&amp;C5&amp;"'!C:C"),"Caixa",INDIRECT("'"&amp;C5&amp;"'!D:D"),C4),0)</f>
        <v/>
      </c>
      <c r="K13" s="73">
        <f>IFERROR(C13+E13+G13+I13,0)</f>
        <v/>
      </c>
      <c r="L13" s="74">
        <f>IFERROR(D13+F13+H13+J13,0)</f>
        <v/>
      </c>
      <c r="M13" s="45" t="n"/>
    </row>
    <row r="14" ht="24" customHeight="1" s="43">
      <c r="A14" s="45" t="n"/>
      <c r="B14" s="66" t="inlineStr">
        <is>
          <t>Mastercard</t>
        </is>
      </c>
      <c r="C14" s="67">
        <f>IFERROR(COUNTIFS(INDIRECT("'"&amp;C5&amp;"'!B:B"),$B14,INDIRECT("'"&amp;C5&amp;"'!C:C"),"Débito à Vista",INDIRECT("'"&amp;C5&amp;"'!D:D"),C4),0)</f>
        <v/>
      </c>
      <c r="D14" s="68">
        <f>IFERROR(SUMIFS(INDIRECT("'"&amp;C5&amp;"'!E:E"),INDIRECT("'"&amp;C5&amp;"'!B:B"),$B14,INDIRECT("'"&amp;C5&amp;"'!C:C"),"Débito à Vista",INDIRECT("'"&amp;C5&amp;"'!D:D"),C4),0)</f>
        <v/>
      </c>
      <c r="E14" s="69">
        <f>IFERROR(COUNTIFS(INDIRECT("'"&amp;C5&amp;"'!B:B"),$B14,INDIRECT("'"&amp;C5&amp;"'!C:C"),"Crédito à Vista",INDIRECT("'"&amp;C5&amp;"'!D:D"),C4),0)</f>
        <v/>
      </c>
      <c r="F14" s="70">
        <f>IFERROR(SUMIFS(INDIRECT("'"&amp;C5&amp;"'!E:E"),INDIRECT("'"&amp;C5&amp;"'!B:B"),$B14,INDIRECT("'"&amp;C5&amp;"'!C:C"),"Crédito à Vista",INDIRECT("'"&amp;C5&amp;"'!D:D"),C4),0)</f>
        <v/>
      </c>
      <c r="G14" s="71">
        <f>IFERROR(COUNTIFS(INDIRECT("'"&amp;C5&amp;"'!B:B"),$B14,INDIRECT("'"&amp;C5&amp;"'!C:C"),"Sicoob",INDIRECT("'"&amp;C5&amp;"'!D:D"),C4),0)</f>
        <v/>
      </c>
      <c r="H14" s="72">
        <f>IFERROR(SUMIFS(INDIRECT("'"&amp;C5&amp;"'!E:E"),INDIRECT("'"&amp;C5&amp;"'!B:B"),$B14,INDIRECT("'"&amp;C5&amp;"'!C:C"),"Sicoob",INDIRECT("'"&amp;C5&amp;"'!D:D"),C4),0)</f>
        <v/>
      </c>
      <c r="I14" s="71">
        <f>IFERROR(COUNTIFS(INDIRECT("'"&amp;C5&amp;"'!B:B"),$B14,INDIRECT("'"&amp;C5&amp;"'!C:C"),"Caixa",INDIRECT("'"&amp;C5&amp;"'!D:D"),C4),0)</f>
        <v/>
      </c>
      <c r="J14" s="72">
        <f>IFERROR(SUMIFS(INDIRECT("'"&amp;C5&amp;"'!E:E"),INDIRECT("'"&amp;C5&amp;"'!B:B"),$B14,INDIRECT("'"&amp;C5&amp;"'!C:C"),"Caixa",INDIRECT("'"&amp;C5&amp;"'!D:D"),C4),0)</f>
        <v/>
      </c>
      <c r="K14" s="73">
        <f>IFERROR(C14+E14+G14+I14,0)</f>
        <v/>
      </c>
      <c r="L14" s="74">
        <f>IFERROR(D14+F14+H14+J14,0)</f>
        <v/>
      </c>
      <c r="M14" s="45" t="n"/>
    </row>
    <row r="15" ht="24" customHeight="1" s="43">
      <c r="A15" s="45" t="n"/>
      <c r="B15" s="75" t="inlineStr">
        <is>
          <t>Mastercard Pré-pago</t>
        </is>
      </c>
      <c r="C15" s="67">
        <f>IFERROR(COUNTIFS(INDIRECT("'"&amp;C5&amp;"'!B:B"),$B15,INDIRECT("'"&amp;C5&amp;"'!C:C"),"Débito à Vista",INDIRECT("'"&amp;C5&amp;"'!D:D"),C4),0)</f>
        <v/>
      </c>
      <c r="D15" s="68">
        <f>IFERROR(SUMIFS(INDIRECT("'"&amp;C5&amp;"'!E:E"),INDIRECT("'"&amp;C5&amp;"'!B:B"),$B15,INDIRECT("'"&amp;C5&amp;"'!C:C"),"Débito à Vista",INDIRECT("'"&amp;C5&amp;"'!D:D"),C4),0)</f>
        <v/>
      </c>
      <c r="E15" s="69">
        <f>IFERROR(COUNTIFS(INDIRECT("'"&amp;C5&amp;"'!B:B"),$B15,INDIRECT("'"&amp;C5&amp;"'!C:C"),"Crédito à Vista",INDIRECT("'"&amp;C5&amp;"'!D:D"),C4),0)</f>
        <v/>
      </c>
      <c r="F15" s="70">
        <f>IFERROR(SUMIFS(INDIRECT("'"&amp;C5&amp;"'!E:E"),INDIRECT("'"&amp;C5&amp;"'!B:B"),$B15,INDIRECT("'"&amp;C5&amp;"'!C:C"),"Crédito à Vista",INDIRECT("'"&amp;C5&amp;"'!D:D"),C4),0)</f>
        <v/>
      </c>
      <c r="G15" s="71">
        <f>IFERROR(COUNTIFS(INDIRECT("'"&amp;C5&amp;"'!B:B"),$B15,INDIRECT("'"&amp;C5&amp;"'!C:C"),"Sicoob",INDIRECT("'"&amp;C5&amp;"'!D:D"),C4),0)</f>
        <v/>
      </c>
      <c r="H15" s="72">
        <f>IFERROR(SUMIFS(INDIRECT("'"&amp;C5&amp;"'!E:E"),INDIRECT("'"&amp;C5&amp;"'!B:B"),$B15,INDIRECT("'"&amp;C5&amp;"'!C:C"),"Sicoob",INDIRECT("'"&amp;C5&amp;"'!D:D"),C4),0)</f>
        <v/>
      </c>
      <c r="I15" s="71">
        <f>IFERROR(COUNTIFS(INDIRECT("'"&amp;C5&amp;"'!B:B"),$B15,INDIRECT("'"&amp;C5&amp;"'!C:C"),"Caixa",INDIRECT("'"&amp;C5&amp;"'!D:D"),C4),0)</f>
        <v/>
      </c>
      <c r="J15" s="72">
        <f>IFERROR(SUMIFS(INDIRECT("'"&amp;C5&amp;"'!E:E"),INDIRECT("'"&amp;C5&amp;"'!B:B"),$B15,INDIRECT("'"&amp;C5&amp;"'!C:C"),"Caixa",INDIRECT("'"&amp;C5&amp;"'!D:D"),C4),0)</f>
        <v/>
      </c>
      <c r="K15" s="73">
        <f>IFERROR(C15+E15+G15+I15,0)</f>
        <v/>
      </c>
      <c r="L15" s="74">
        <f>IFERROR(D15+F15+H15+J15,0)</f>
        <v/>
      </c>
      <c r="M15" s="45" t="n"/>
    </row>
    <row r="16" ht="24" customHeight="1" s="43">
      <c r="A16" s="45" t="n"/>
      <c r="B16" s="66" t="inlineStr">
        <is>
          <t>Maestro</t>
        </is>
      </c>
      <c r="C16" s="67">
        <f>IFERROR(COUNTIFS(INDIRECT("'"&amp;C5&amp;"'!B:B"),$B16,INDIRECT("'"&amp;C5&amp;"'!C:C"),"Débito à Vista",INDIRECT("'"&amp;C5&amp;"'!D:D"),C4),0)</f>
        <v/>
      </c>
      <c r="D16" s="68">
        <f>IFERROR(SUMIFS(INDIRECT("'"&amp;C5&amp;"'!E:E"),INDIRECT("'"&amp;C5&amp;"'!B:B"),$B16,INDIRECT("'"&amp;C5&amp;"'!C:C"),"Débito à Vista",INDIRECT("'"&amp;C5&amp;"'!D:D"),C4),0)</f>
        <v/>
      </c>
      <c r="E16" s="69">
        <f>IFERROR(COUNTIFS(INDIRECT("'"&amp;C5&amp;"'!B:B"),$B16,INDIRECT("'"&amp;C5&amp;"'!C:C"),"Crédito à Vista",INDIRECT("'"&amp;C5&amp;"'!D:D"),C4),0)</f>
        <v/>
      </c>
      <c r="F16" s="70">
        <f>IFERROR(SUMIFS(INDIRECT("'"&amp;C5&amp;"'!E:E"),INDIRECT("'"&amp;C5&amp;"'!B:B"),$B16,INDIRECT("'"&amp;C5&amp;"'!C:C"),"Crédito à Vista",INDIRECT("'"&amp;C5&amp;"'!D:D"),C4),0)</f>
        <v/>
      </c>
      <c r="G16" s="71">
        <f>IFERROR(COUNTIFS(INDIRECT("'"&amp;C5&amp;"'!B:B"),$B16,INDIRECT("'"&amp;C5&amp;"'!C:C"),"Sicoob",INDIRECT("'"&amp;C5&amp;"'!D:D"),C4),0)</f>
        <v/>
      </c>
      <c r="H16" s="72">
        <f>IFERROR(SUMIFS(INDIRECT("'"&amp;C5&amp;"'!E:E"),INDIRECT("'"&amp;C5&amp;"'!B:B"),$B16,INDIRECT("'"&amp;C5&amp;"'!C:C"),"Sicoob",INDIRECT("'"&amp;C5&amp;"'!D:D"),C4),0)</f>
        <v/>
      </c>
      <c r="I16" s="71">
        <f>IFERROR(COUNTIFS(INDIRECT("'"&amp;C5&amp;"'!B:B"),$B16,INDIRECT("'"&amp;C5&amp;"'!C:C"),"Caixa",INDIRECT("'"&amp;C5&amp;"'!D:D"),C4),0)</f>
        <v/>
      </c>
      <c r="J16" s="72">
        <f>IFERROR(SUMIFS(INDIRECT("'"&amp;C5&amp;"'!E:E"),INDIRECT("'"&amp;C5&amp;"'!B:B"),$B16,INDIRECT("'"&amp;C5&amp;"'!C:C"),"Caixa",INDIRECT("'"&amp;C5&amp;"'!D:D"),C4),0)</f>
        <v/>
      </c>
      <c r="K16" s="73">
        <f>IFERROR(C16+E16+G16+I16,0)</f>
        <v/>
      </c>
      <c r="L16" s="74">
        <f>IFERROR(D16+F16+H16+J16,0)</f>
        <v/>
      </c>
      <c r="M16" s="45" t="n"/>
    </row>
    <row r="17" ht="24" customHeight="1" s="43">
      <c r="A17" s="45" t="n"/>
      <c r="B17" s="75" t="inlineStr">
        <is>
          <t>Elo</t>
        </is>
      </c>
      <c r="C17" s="67">
        <f>IFERROR(COUNTIFS(INDIRECT("'"&amp;C5&amp;"'!B:B"),$B17,INDIRECT("'"&amp;C5&amp;"'!C:C"),"Débito à Vista",INDIRECT("'"&amp;C5&amp;"'!D:D"),C4),0)</f>
        <v/>
      </c>
      <c r="D17" s="68">
        <f>IFERROR(SUMIFS(INDIRECT("'"&amp;C5&amp;"'!E:E"),INDIRECT("'"&amp;C5&amp;"'!B:B"),$B17,INDIRECT("'"&amp;C5&amp;"'!C:C"),"Débito à Vista",INDIRECT("'"&amp;C5&amp;"'!D:D"),C4),0)</f>
        <v/>
      </c>
      <c r="E17" s="69">
        <f>IFERROR(COUNTIFS(INDIRECT("'"&amp;C5&amp;"'!B:B"),$B17,INDIRECT("'"&amp;C5&amp;"'!C:C"),"Crédito à Vista",INDIRECT("'"&amp;C5&amp;"'!D:D"),C4),0)</f>
        <v/>
      </c>
      <c r="F17" s="70">
        <f>IFERROR(SUMIFS(INDIRECT("'"&amp;C5&amp;"'!E:E"),INDIRECT("'"&amp;C5&amp;"'!B:B"),$B17,INDIRECT("'"&amp;C5&amp;"'!C:C"),"Crédito à Vista",INDIRECT("'"&amp;C5&amp;"'!D:D"),C4),0)</f>
        <v/>
      </c>
      <c r="G17" s="71">
        <f>IFERROR(COUNTIFS(INDIRECT("'"&amp;C5&amp;"'!B:B"),$B17,INDIRECT("'"&amp;C5&amp;"'!C:C"),"Sicoob",INDIRECT("'"&amp;C5&amp;"'!D:D"),C4),0)</f>
        <v/>
      </c>
      <c r="H17" s="72">
        <f>IFERROR(SUMIFS(INDIRECT("'"&amp;C5&amp;"'!E:E"),INDIRECT("'"&amp;C5&amp;"'!B:B"),$B17,INDIRECT("'"&amp;C5&amp;"'!C:C"),"Sicoob",INDIRECT("'"&amp;C5&amp;"'!D:D"),C4),0)</f>
        <v/>
      </c>
      <c r="I17" s="71">
        <f>IFERROR(COUNTIFS(INDIRECT("'"&amp;C5&amp;"'!B:B"),$B17,INDIRECT("'"&amp;C5&amp;"'!C:C"),"Caixa",INDIRECT("'"&amp;C5&amp;"'!D:D"),C4),0)</f>
        <v/>
      </c>
      <c r="J17" s="72">
        <f>IFERROR(SUMIFS(INDIRECT("'"&amp;C5&amp;"'!E:E"),INDIRECT("'"&amp;C5&amp;"'!B:B"),$B17,INDIRECT("'"&amp;C5&amp;"'!C:C"),"Caixa",INDIRECT("'"&amp;C5&amp;"'!D:D"),C4),0)</f>
        <v/>
      </c>
      <c r="K17" s="73">
        <f>IFERROR(C17+E17+G17+I17,0)</f>
        <v/>
      </c>
      <c r="L17" s="74">
        <f>IFERROR(D17+F17+H17+J17,0)</f>
        <v/>
      </c>
      <c r="M17" s="45" t="n"/>
    </row>
    <row r="18" ht="24" customHeight="1" s="43">
      <c r="A18" s="45" t="n"/>
      <c r="B18" s="66" t="inlineStr">
        <is>
          <t>Elo Pré-pago</t>
        </is>
      </c>
      <c r="C18" s="67">
        <f>IFERROR(COUNTIFS(INDIRECT("'"&amp;C5&amp;"'!B:B"),$B18,INDIRECT("'"&amp;C5&amp;"'!C:C"),"Débito à Vista",INDIRECT("'"&amp;C5&amp;"'!D:D"),C4),0)</f>
        <v/>
      </c>
      <c r="D18" s="68">
        <f>IFERROR(SUMIFS(INDIRECT("'"&amp;C5&amp;"'!E:E"),INDIRECT("'"&amp;C5&amp;"'!B:B"),$B18,INDIRECT("'"&amp;C5&amp;"'!C:C"),"Débito à Vista",INDIRECT("'"&amp;C5&amp;"'!D:D"),C4),0)</f>
        <v/>
      </c>
      <c r="E18" s="69">
        <f>IFERROR(COUNTIFS(INDIRECT("'"&amp;C5&amp;"'!B:B"),$B18,INDIRECT("'"&amp;C5&amp;"'!C:C"),"Crédito à Vista",INDIRECT("'"&amp;C5&amp;"'!D:D"),C4),0)</f>
        <v/>
      </c>
      <c r="F18" s="70">
        <f>IFERROR(SUMIFS(INDIRECT("'"&amp;C5&amp;"'!E:E"),INDIRECT("'"&amp;C5&amp;"'!B:B"),$B18,INDIRECT("'"&amp;C5&amp;"'!C:C"),"Crédito à Vista",INDIRECT("'"&amp;C5&amp;"'!D:D"),C4),0)</f>
        <v/>
      </c>
      <c r="G18" s="71">
        <f>IFERROR(COUNTIFS(INDIRECT("'"&amp;C5&amp;"'!B:B"),$B18,INDIRECT("'"&amp;C5&amp;"'!C:C"),"Sicoob",INDIRECT("'"&amp;C5&amp;"'!D:D"),C4),0)</f>
        <v/>
      </c>
      <c r="H18" s="72">
        <f>IFERROR(SUMIFS(INDIRECT("'"&amp;C5&amp;"'!E:E"),INDIRECT("'"&amp;C5&amp;"'!B:B"),$B18,INDIRECT("'"&amp;C5&amp;"'!C:C"),"Sicoob",INDIRECT("'"&amp;C5&amp;"'!D:D"),C4),0)</f>
        <v/>
      </c>
      <c r="I18" s="71">
        <f>IFERROR(COUNTIFS(INDIRECT("'"&amp;C5&amp;"'!B:B"),$B18,INDIRECT("'"&amp;C5&amp;"'!C:C"),"Caixa",INDIRECT("'"&amp;C5&amp;"'!D:D"),C4),0)</f>
        <v/>
      </c>
      <c r="J18" s="72">
        <f>IFERROR(SUMIFS(INDIRECT("'"&amp;C5&amp;"'!E:E"),INDIRECT("'"&amp;C5&amp;"'!B:B"),$B18,INDIRECT("'"&amp;C5&amp;"'!C:C"),"Caixa",INDIRECT("'"&amp;C5&amp;"'!D:D"),C4),0)</f>
        <v/>
      </c>
      <c r="K18" s="73">
        <f>IFERROR(C18+E18+G18+I18,0)</f>
        <v/>
      </c>
      <c r="L18" s="74">
        <f>IFERROR(D18+F18+H18+J18,0)</f>
        <v/>
      </c>
      <c r="M18" s="45" t="n"/>
    </row>
    <row r="19" ht="24" customHeight="1" s="43">
      <c r="A19" s="45" t="n"/>
      <c r="B19" s="75" t="inlineStr">
        <is>
          <t>Hipercard</t>
        </is>
      </c>
      <c r="C19" s="67">
        <f>IFERROR(COUNTIFS(INDIRECT("'"&amp;C5&amp;"'!B:B"),$B19,INDIRECT("'"&amp;C5&amp;"'!C:C"),"Débito à Vista",INDIRECT("'"&amp;C5&amp;"'!D:D"),C4),0)</f>
        <v/>
      </c>
      <c r="D19" s="68">
        <f>IFERROR(SUMIFS(INDIRECT("'"&amp;C5&amp;"'!E:E"),INDIRECT("'"&amp;C5&amp;"'!B:B"),$B19,INDIRECT("'"&amp;C5&amp;"'!C:C"),"Débito à Vista",INDIRECT("'"&amp;C5&amp;"'!D:D"),C4),0)</f>
        <v/>
      </c>
      <c r="E19" s="69">
        <f>IFERROR(COUNTIFS(INDIRECT("'"&amp;C5&amp;"'!B:B"),$B19,INDIRECT("'"&amp;C5&amp;"'!C:C"),"Crédito à Vista",INDIRECT("'"&amp;C5&amp;"'!D:D"),C4),0)</f>
        <v/>
      </c>
      <c r="F19" s="70">
        <f>IFERROR(SUMIFS(INDIRECT("'"&amp;C5&amp;"'!E:E"),INDIRECT("'"&amp;C5&amp;"'!B:B"),$B19,INDIRECT("'"&amp;C5&amp;"'!C:C"),"Crédito à Vista",INDIRECT("'"&amp;C5&amp;"'!D:D"),C4),0)</f>
        <v/>
      </c>
      <c r="G19" s="71">
        <f>IFERROR(COUNTIFS(INDIRECT("'"&amp;C5&amp;"'!B:B"),$B19,INDIRECT("'"&amp;C5&amp;"'!C:C"),"Sicoob",INDIRECT("'"&amp;C5&amp;"'!D:D"),C4),0)</f>
        <v/>
      </c>
      <c r="H19" s="72">
        <f>IFERROR(SUMIFS(INDIRECT("'"&amp;C5&amp;"'!E:E"),INDIRECT("'"&amp;C5&amp;"'!B:B"),$B19,INDIRECT("'"&amp;C5&amp;"'!C:C"),"Sicoob",INDIRECT("'"&amp;C5&amp;"'!D:D"),C4),0)</f>
        <v/>
      </c>
      <c r="I19" s="71">
        <f>IFERROR(COUNTIFS(INDIRECT("'"&amp;C5&amp;"'!B:B"),$B19,INDIRECT("'"&amp;C5&amp;"'!C:C"),"Caixa",INDIRECT("'"&amp;C5&amp;"'!D:D"),C4),0)</f>
        <v/>
      </c>
      <c r="J19" s="72">
        <f>IFERROR(SUMIFS(INDIRECT("'"&amp;C5&amp;"'!E:E"),INDIRECT("'"&amp;C5&amp;"'!B:B"),$B19,INDIRECT("'"&amp;C5&amp;"'!C:C"),"Caixa",INDIRECT("'"&amp;C5&amp;"'!D:D"),C4),0)</f>
        <v/>
      </c>
      <c r="K19" s="73">
        <f>IFERROR(C19+E19+G19+I19,0)</f>
        <v/>
      </c>
      <c r="L19" s="74">
        <f>IFERROR(D19+F19+H19+J19,0)</f>
        <v/>
      </c>
      <c r="M19" s="45" t="n"/>
    </row>
    <row r="20" ht="24" customHeight="1" s="43">
      <c r="A20" s="45" t="n"/>
      <c r="B20" s="66" t="inlineStr">
        <is>
          <t>American Express</t>
        </is>
      </c>
      <c r="C20" s="67">
        <f>IFERROR(COUNTIFS(INDIRECT("'"&amp;C5&amp;"'!B:B"),$B20,INDIRECT("'"&amp;C5&amp;"'!C:C"),"Débito à Vista",INDIRECT("'"&amp;C5&amp;"'!D:D"),C4),0)</f>
        <v/>
      </c>
      <c r="D20" s="68">
        <f>IFERROR(SUMIFS(INDIRECT("'"&amp;C5&amp;"'!E:E"),INDIRECT("'"&amp;C5&amp;"'!B:B"),$B20,INDIRECT("'"&amp;C5&amp;"'!C:C"),"Débito à Vista",INDIRECT("'"&amp;C5&amp;"'!D:D"),C4),0)</f>
        <v/>
      </c>
      <c r="E20" s="69">
        <f>IFERROR(COUNTIFS(INDIRECT("'"&amp;C5&amp;"'!B:B"),$B20,INDIRECT("'"&amp;C5&amp;"'!C:C"),"Crédito à Vista",INDIRECT("'"&amp;C5&amp;"'!D:D"),C4),0)</f>
        <v/>
      </c>
      <c r="F20" s="70">
        <f>IFERROR(SUMIFS(INDIRECT("'"&amp;C5&amp;"'!E:E"),INDIRECT("'"&amp;C5&amp;"'!B:B"),$B20,INDIRECT("'"&amp;C5&amp;"'!C:C"),"Crédito à Vista",INDIRECT("'"&amp;C5&amp;"'!D:D"),C4),0)</f>
        <v/>
      </c>
      <c r="G20" s="71">
        <f>IFERROR(COUNTIFS(INDIRECT("'"&amp;C5&amp;"'!B:B"),$B20,INDIRECT("'"&amp;C5&amp;"'!C:C"),"Sicoob",INDIRECT("'"&amp;C5&amp;"'!D:D"),C4),0)</f>
        <v/>
      </c>
      <c r="H20" s="72">
        <f>IFERROR(SUMIFS(INDIRECT("'"&amp;C5&amp;"'!E:E"),INDIRECT("'"&amp;C5&amp;"'!B:B"),$B20,INDIRECT("'"&amp;C5&amp;"'!C:C"),"Sicoob",INDIRECT("'"&amp;C5&amp;"'!D:D"),C4),0)</f>
        <v/>
      </c>
      <c r="I20" s="71">
        <f>IFERROR(COUNTIFS(INDIRECT("'"&amp;C5&amp;"'!B:B"),$B20,INDIRECT("'"&amp;C5&amp;"'!C:C"),"Caixa",INDIRECT("'"&amp;C5&amp;"'!D:D"),C4),0)</f>
        <v/>
      </c>
      <c r="J20" s="72">
        <f>IFERROR(SUMIFS(INDIRECT("'"&amp;C5&amp;"'!E:E"),INDIRECT("'"&amp;C5&amp;"'!B:B"),$B20,INDIRECT("'"&amp;C5&amp;"'!C:C"),"Caixa",INDIRECT("'"&amp;C5&amp;"'!D:D"),C4),0)</f>
        <v/>
      </c>
      <c r="K20" s="73">
        <f>IFERROR(C20+E20+G20+I20,0)</f>
        <v/>
      </c>
      <c r="L20" s="74">
        <f>IFERROR(D20+F20+H20+J20,0)</f>
        <v/>
      </c>
      <c r="M20" s="45" t="n"/>
    </row>
    <row r="21" ht="24" customHeight="1" s="43">
      <c r="A21" s="45" t="n"/>
      <c r="B21" s="75" t="inlineStr">
        <is>
          <t>Cabal</t>
        </is>
      </c>
      <c r="C21" s="67">
        <f>IFERROR(COUNTIFS(INDIRECT("'"&amp;C5&amp;"'!B:B"),$B21,INDIRECT("'"&amp;C5&amp;"'!C:C"),"Débito à Vista",INDIRECT("'"&amp;C5&amp;"'!D:D"),C4),0)</f>
        <v/>
      </c>
      <c r="D21" s="68">
        <f>IFERROR(SUMIFS(INDIRECT("'"&amp;C5&amp;"'!E:E"),INDIRECT("'"&amp;C5&amp;"'!B:B"),$B21,INDIRECT("'"&amp;C5&amp;"'!C:C"),"Débito à Vista",INDIRECT("'"&amp;C5&amp;"'!D:D"),C4),0)</f>
        <v/>
      </c>
      <c r="E21" s="69">
        <f>IFERROR(COUNTIFS(INDIRECT("'"&amp;C5&amp;"'!B:B"),$B21,INDIRECT("'"&amp;C5&amp;"'!C:C"),"Crédito à Vista",INDIRECT("'"&amp;C5&amp;"'!D:D"),C4),0)</f>
        <v/>
      </c>
      <c r="F21" s="70">
        <f>IFERROR(SUMIFS(INDIRECT("'"&amp;C5&amp;"'!E:E"),INDIRECT("'"&amp;C5&amp;"'!B:B"),$B21,INDIRECT("'"&amp;C5&amp;"'!C:C"),"Crédito à Vista",INDIRECT("'"&amp;C5&amp;"'!D:D"),C4),0)</f>
        <v/>
      </c>
      <c r="G21" s="71">
        <f>IFERROR(COUNTIFS(INDIRECT("'"&amp;C5&amp;"'!B:B"),$B21,INDIRECT("'"&amp;C5&amp;"'!C:C"),"Sicoob",INDIRECT("'"&amp;C5&amp;"'!D:D"),C4),0)</f>
        <v/>
      </c>
      <c r="H21" s="72">
        <f>IFERROR(SUMIFS(INDIRECT("'"&amp;C5&amp;"'!E:E"),INDIRECT("'"&amp;C5&amp;"'!B:B"),$B21,INDIRECT("'"&amp;C5&amp;"'!C:C"),"Sicoob",INDIRECT("'"&amp;C5&amp;"'!D:D"),C4),0)</f>
        <v/>
      </c>
      <c r="I21" s="71">
        <f>IFERROR(COUNTIFS(INDIRECT("'"&amp;C5&amp;"'!B:B"),$B21,INDIRECT("'"&amp;C5&amp;"'!C:C"),"Caixa",INDIRECT("'"&amp;C5&amp;"'!D:D"),C4),0)</f>
        <v/>
      </c>
      <c r="J21" s="72">
        <f>IFERROR(SUMIFS(INDIRECT("'"&amp;C5&amp;"'!E:E"),INDIRECT("'"&amp;C5&amp;"'!B:B"),$B21,INDIRECT("'"&amp;C5&amp;"'!C:C"),"Caixa",INDIRECT("'"&amp;C5&amp;"'!D:D"),C4),0)</f>
        <v/>
      </c>
      <c r="K21" s="73">
        <f>IFERROR(C21+E21+G21+I21,0)</f>
        <v/>
      </c>
      <c r="L21" s="74">
        <f>IFERROR(D21+F21+H21+J21,0)</f>
        <v/>
      </c>
      <c r="M21" s="45" t="n"/>
    </row>
    <row r="22" ht="24" customHeight="1" s="43">
      <c r="A22" s="45" t="n"/>
      <c r="B22" s="66" t="inlineStr">
        <is>
          <t>Cabal Pré-pago</t>
        </is>
      </c>
      <c r="C22" s="67">
        <f>IFERROR(COUNTIFS(INDIRECT("'"&amp;C5&amp;"'!B:B"),$B22,INDIRECT("'"&amp;C5&amp;"'!C:C"),"Débito à Vista",INDIRECT("'"&amp;C5&amp;"'!D:D"),C4),0)</f>
        <v/>
      </c>
      <c r="D22" s="68">
        <f>IFERROR(SUMIFS(INDIRECT("'"&amp;C5&amp;"'!E:E"),INDIRECT("'"&amp;C5&amp;"'!B:B"),$B22,INDIRECT("'"&amp;C5&amp;"'!C:C"),"Débito à Vista",INDIRECT("'"&amp;C5&amp;"'!D:D"),C4),0)</f>
        <v/>
      </c>
      <c r="E22" s="69">
        <f>IFERROR(COUNTIFS(INDIRECT("'"&amp;C5&amp;"'!B:B"),$B22,INDIRECT("'"&amp;C5&amp;"'!C:C"),"Crédito à Vista",INDIRECT("'"&amp;C5&amp;"'!D:D"),C4),0)</f>
        <v/>
      </c>
      <c r="F22" s="70">
        <f>IFERROR(SUMIFS(INDIRECT("'"&amp;C5&amp;"'!E:E"),INDIRECT("'"&amp;C5&amp;"'!B:B"),$B22,INDIRECT("'"&amp;C5&amp;"'!C:C"),"Crédito à Vista",INDIRECT("'"&amp;C5&amp;"'!D:D"),C4),0)</f>
        <v/>
      </c>
      <c r="G22" s="71">
        <f>IFERROR(COUNTIFS(INDIRECT("'"&amp;C5&amp;"'!B:B"),$B22,INDIRECT("'"&amp;C5&amp;"'!C:C"),"Sicoob",INDIRECT("'"&amp;C5&amp;"'!D:D"),C4),0)</f>
        <v/>
      </c>
      <c r="H22" s="72">
        <f>IFERROR(SUMIFS(INDIRECT("'"&amp;C5&amp;"'!E:E"),INDIRECT("'"&amp;C5&amp;"'!B:B"),$B22,INDIRECT("'"&amp;C5&amp;"'!C:C"),"Sicoob",INDIRECT("'"&amp;C5&amp;"'!D:D"),C4),0)</f>
        <v/>
      </c>
      <c r="I22" s="71">
        <f>IFERROR(COUNTIFS(INDIRECT("'"&amp;C5&amp;"'!B:B"),$B22,INDIRECT("'"&amp;C5&amp;"'!C:C"),"Caixa",INDIRECT("'"&amp;C5&amp;"'!D:D"),C4),0)</f>
        <v/>
      </c>
      <c r="J22" s="72">
        <f>IFERROR(SUMIFS(INDIRECT("'"&amp;C5&amp;"'!E:E"),INDIRECT("'"&amp;C5&amp;"'!B:B"),$B22,INDIRECT("'"&amp;C5&amp;"'!C:C"),"Caixa",INDIRECT("'"&amp;C5&amp;"'!D:D"),C4),0)</f>
        <v/>
      </c>
      <c r="K22" s="73">
        <f>IFERROR(C22+E22+G22+I22,0)</f>
        <v/>
      </c>
      <c r="L22" s="74">
        <f>IFERROR(D22+F22+H22+J22,0)</f>
        <v/>
      </c>
      <c r="M22" s="45" t="n"/>
    </row>
    <row r="23" ht="24" customHeight="1" s="43">
      <c r="A23" s="45" t="n"/>
      <c r="B23" s="75" t="inlineStr">
        <is>
          <t>Alelo</t>
        </is>
      </c>
      <c r="C23" s="67">
        <f>IFERROR(COUNTIFS(INDIRECT("'"&amp;C5&amp;"'!B:B"),$B23,INDIRECT("'"&amp;C5&amp;"'!C:C"),"Débito à Vista",INDIRECT("'"&amp;C5&amp;"'!D:D"),C4),0)</f>
        <v/>
      </c>
      <c r="D23" s="68">
        <f>IFERROR(SUMIFS(INDIRECT("'"&amp;C5&amp;"'!E:E"),INDIRECT("'"&amp;C5&amp;"'!B:B"),$B23,INDIRECT("'"&amp;C5&amp;"'!C:C"),"Débito à Vista",INDIRECT("'"&amp;C5&amp;"'!D:D"),C4),0)</f>
        <v/>
      </c>
      <c r="E23" s="69">
        <f>IFERROR(COUNTIFS(INDIRECT("'"&amp;C5&amp;"'!B:B"),$B23,INDIRECT("'"&amp;C5&amp;"'!C:C"),"Crédito à Vista",INDIRECT("'"&amp;C5&amp;"'!D:D"),C4),0)</f>
        <v/>
      </c>
      <c r="F23" s="70">
        <f>IFERROR(SUMIFS(INDIRECT("'"&amp;C5&amp;"'!E:E"),INDIRECT("'"&amp;C5&amp;"'!B:B"),$B23,INDIRECT("'"&amp;C5&amp;"'!C:C"),"Crédito à Vista",INDIRECT("'"&amp;C5&amp;"'!D:D"),C4),0)</f>
        <v/>
      </c>
      <c r="G23" s="71">
        <f>IFERROR(COUNTIFS(INDIRECT("'"&amp;C5&amp;"'!B:B"),$B23,INDIRECT("'"&amp;C5&amp;"'!C:C"),"Sicoob",INDIRECT("'"&amp;C5&amp;"'!D:D"),C4),0)</f>
        <v/>
      </c>
      <c r="H23" s="72">
        <f>IFERROR(SUMIFS(INDIRECT("'"&amp;C5&amp;"'!E:E"),INDIRECT("'"&amp;C5&amp;"'!B:B"),$B23,INDIRECT("'"&amp;C5&amp;"'!C:C"),"Sicoob",INDIRECT("'"&amp;C5&amp;"'!D:D"),C4),0)</f>
        <v/>
      </c>
      <c r="I23" s="71">
        <f>IFERROR(COUNTIFS(INDIRECT("'"&amp;C5&amp;"'!B:B"),$B23,INDIRECT("'"&amp;C5&amp;"'!C:C"),"Caixa",INDIRECT("'"&amp;C5&amp;"'!D:D"),C4),0)</f>
        <v/>
      </c>
      <c r="J23" s="72">
        <f>IFERROR(SUMIFS(INDIRECT("'"&amp;C5&amp;"'!E:E"),INDIRECT("'"&amp;C5&amp;"'!B:B"),$B23,INDIRECT("'"&amp;C5&amp;"'!C:C"),"Caixa",INDIRECT("'"&amp;C5&amp;"'!D:D"),C4),0)</f>
        <v/>
      </c>
      <c r="K23" s="73">
        <f>IFERROR(C23+E23+G23+I23,0)</f>
        <v/>
      </c>
      <c r="L23" s="74">
        <f>IFERROR(D23+F23+H23+J23,0)</f>
        <v/>
      </c>
      <c r="M23" s="45" t="n"/>
    </row>
    <row r="24" ht="24" customHeight="1" s="43">
      <c r="A24" s="45" t="n"/>
      <c r="B24" s="66" t="inlineStr">
        <is>
          <t>Diners Club</t>
        </is>
      </c>
      <c r="C24" s="67">
        <f>IFERROR(COUNTIFS(INDIRECT("'"&amp;C5&amp;"'!B:B"),$B24,INDIRECT("'"&amp;C5&amp;"'!C:C"),"Débito à Vista",INDIRECT("'"&amp;C5&amp;"'!D:D"),C4),0)</f>
        <v/>
      </c>
      <c r="D24" s="68">
        <f>IFERROR(SUMIFS(INDIRECT("'"&amp;C5&amp;"'!E:E"),INDIRECT("'"&amp;C5&amp;"'!B:B"),$B24,INDIRECT("'"&amp;C5&amp;"'!C:C"),"Débito à Vista",INDIRECT("'"&amp;C5&amp;"'!D:D"),C4),0)</f>
        <v/>
      </c>
      <c r="E24" s="69">
        <f>IFERROR(COUNTIFS(INDIRECT("'"&amp;C5&amp;"'!B:B"),$B24,INDIRECT("'"&amp;C5&amp;"'!C:C"),"Crédito à Vista",INDIRECT("'"&amp;C5&amp;"'!D:D"),C4),0)</f>
        <v/>
      </c>
      <c r="F24" s="70">
        <f>IFERROR(SUMIFS(INDIRECT("'"&amp;C5&amp;"'!E:E"),INDIRECT("'"&amp;C5&amp;"'!B:B"),$B24,INDIRECT("'"&amp;C5&amp;"'!C:C"),"Crédito à Vista",INDIRECT("'"&amp;C5&amp;"'!D:D"),C4),0)</f>
        <v/>
      </c>
      <c r="G24" s="71">
        <f>IFERROR(COUNTIFS(INDIRECT("'"&amp;C5&amp;"'!B:B"),$B24,INDIRECT("'"&amp;C5&amp;"'!C:C"),"Sicoob",INDIRECT("'"&amp;C5&amp;"'!D:D"),C4),0)</f>
        <v/>
      </c>
      <c r="H24" s="72">
        <f>IFERROR(SUMIFS(INDIRECT("'"&amp;C5&amp;"'!E:E"),INDIRECT("'"&amp;C5&amp;"'!B:B"),$B24,INDIRECT("'"&amp;C5&amp;"'!C:C"),"Sicoob",INDIRECT("'"&amp;C5&amp;"'!D:D"),C4),0)</f>
        <v/>
      </c>
      <c r="I24" s="71">
        <f>IFERROR(COUNTIFS(INDIRECT("'"&amp;C5&amp;"'!B:B"),$B24,INDIRECT("'"&amp;C5&amp;"'!C:C"),"Caixa",INDIRECT("'"&amp;C5&amp;"'!D:D"),C4),0)</f>
        <v/>
      </c>
      <c r="J24" s="72">
        <f>IFERROR(SUMIFS(INDIRECT("'"&amp;C5&amp;"'!E:E"),INDIRECT("'"&amp;C5&amp;"'!B:B"),$B24,INDIRECT("'"&amp;C5&amp;"'!C:C"),"Caixa",INDIRECT("'"&amp;C5&amp;"'!D:D"),C4),0)</f>
        <v/>
      </c>
      <c r="K24" s="73">
        <f>IFERROR(C24+E24+G24+I24,0)</f>
        <v/>
      </c>
      <c r="L24" s="74">
        <f>IFERROR(D24+F24+H24+J24,0)</f>
        <v/>
      </c>
      <c r="M24" s="45" t="n"/>
    </row>
    <row r="25" ht="4.5" customHeight="1" s="43">
      <c r="A25" s="76" t="n"/>
      <c r="B25" s="77" t="inlineStr">
        <is>
          <t>PIX</t>
        </is>
      </c>
      <c r="C25" s="76" t="n"/>
      <c r="D25" s="76" t="n"/>
      <c r="E25" s="76" t="n"/>
      <c r="F25" s="76" t="n"/>
      <c r="G25" s="76" t="n"/>
      <c r="H25" s="76" t="n"/>
      <c r="I25" s="76" t="n"/>
      <c r="J25" s="76" t="n"/>
      <c r="K25" s="76" t="n"/>
      <c r="L25" s="76" t="n"/>
      <c r="M25" s="78" t="n"/>
    </row>
    <row r="26" ht="27.75" customHeight="1" s="43">
      <c r="A26" s="45" t="n"/>
      <c r="B26" s="79" t="inlineStr">
        <is>
          <t>PIX</t>
        </is>
      </c>
      <c r="C26" s="67">
        <f>IFERROR(COUNTIFS(INDIRECT("'"&amp;C5&amp;"'!B:B"),"PIX",INDIRECT("'"&amp;C5&amp;"'!C:C"),"Débito à Vista",INDIRECT("'"&amp;C5&amp;"'!D:D"),C4),0)</f>
        <v/>
      </c>
      <c r="D26" s="68">
        <f>IFERROR(SUMIFS(INDIRECT("'"&amp;C5&amp;"'!E:E"),INDIRECT("'"&amp;C5&amp;"'!B:B"),"PIX",INDIRECT("'"&amp;C5&amp;"'!C:C"),"Débito à Vista",INDIRECT("'"&amp;C5&amp;"'!D:D"),C4),0)</f>
        <v/>
      </c>
      <c r="E26" s="69">
        <f>IFERROR(COUNTIFS(INDIRECT("'"&amp;C5&amp;"'!B:B"),"PIX",INDIRECT("'"&amp;C5&amp;"'!C:C"),"Crédito à Vista",INDIRECT("'"&amp;C5&amp;"'!D:D"),C4),0)</f>
        <v/>
      </c>
      <c r="F26" s="70">
        <f>IFERROR(SUMIFS(INDIRECT("'"&amp;C5&amp;"'!E:E"),INDIRECT("'"&amp;C5&amp;"'!B:B"),"PIX",INDIRECT("'"&amp;C5&amp;"'!C:C"),"Crédito à Vista",INDIRECT("'"&amp;C5&amp;"'!D:D"),C4),0)</f>
        <v/>
      </c>
      <c r="G26" s="71">
        <f>IFERROR(COUNTIFS(INDIRECT("'"&amp;C5&amp;"'!B:B"),"PIX",INDIRECT("'"&amp;C5&amp;"'!C:C"),"Sicoob",INDIRECT("'"&amp;C5&amp;"'!D:D"),C4),0)</f>
        <v/>
      </c>
      <c r="H26" s="72">
        <f>IFERROR(SUMIFS(INDIRECT("'"&amp;C5&amp;"'!E:E"),INDIRECT("'"&amp;C5&amp;"'!B:B"),"PIX",INDIRECT("'"&amp;C5&amp;"'!C:C"),"Sicoob",INDIRECT("'"&amp;C5&amp;"'!D:D"),C4),0)</f>
        <v/>
      </c>
      <c r="I26" s="71">
        <f>IFERROR(COUNTIFS(INDIRECT("'"&amp;C5&amp;"'!B:B"),"PIX",INDIRECT("'"&amp;C5&amp;"'!C:C"),"Caixa",INDIRECT("'"&amp;C5&amp;"'!D:D"),C4),0)</f>
        <v/>
      </c>
      <c r="J26" s="72">
        <f>IFERROR(SUMIFS(INDIRECT("'"&amp;C5&amp;"'!E:E"),INDIRECT("'"&amp;C5&amp;"'!B:B"),"PIX",INDIRECT("'"&amp;C5&amp;"'!C:C"),"Caixa",INDIRECT("'"&amp;C5&amp;"'!D:D"),C4),0)</f>
        <v/>
      </c>
      <c r="K26" s="80">
        <f>IFERROR(C26+E26+G26+I26,0)</f>
        <v/>
      </c>
      <c r="L26" s="81">
        <f>IFERROR(D26+F26+H26+J26,0)</f>
        <v/>
      </c>
      <c r="M26" s="45" t="n"/>
    </row>
    <row r="27" ht="30" customHeight="1" s="43">
      <c r="A27" s="45" t="n"/>
      <c r="B27" s="82" t="inlineStr">
        <is>
          <t>TOTAL DO DIA</t>
        </is>
      </c>
      <c r="C27" s="80">
        <f>IFERROR(SUM(C10:C26),0)</f>
        <v/>
      </c>
      <c r="D27" s="81">
        <f>IFERROR(SUM(D10:D26),0)</f>
        <v/>
      </c>
      <c r="E27" s="80">
        <f>IFERROR(SUM(E10:E26),0)</f>
        <v/>
      </c>
      <c r="F27" s="81">
        <f>IFERROR(SUM(F10:F26),0)</f>
        <v/>
      </c>
      <c r="G27" s="80">
        <f>IFERROR(SUM(G10:G26),0)</f>
        <v/>
      </c>
      <c r="H27" s="81">
        <f>IFERROR(SUM(H10:H26),0)</f>
        <v/>
      </c>
      <c r="I27" s="80">
        <f>IFERROR(SUM(I10:I26),0)</f>
        <v/>
      </c>
      <c r="J27" s="81">
        <f>IFERROR(SUM(J10:J26),0)</f>
        <v/>
      </c>
      <c r="K27" s="83">
        <f>IFERROR(SUM(K10:K26),0)</f>
        <v/>
      </c>
      <c r="L27" s="84">
        <f>IFERROR(SUM(L10:L26),0)</f>
        <v/>
      </c>
      <c r="M27" s="45" t="n"/>
    </row>
    <row r="28" ht="7.5" customHeight="1" s="43">
      <c r="A28" s="85" t="n"/>
      <c r="B28" s="85" t="n"/>
      <c r="C28" s="85" t="n"/>
      <c r="D28" s="85" t="n"/>
      <c r="E28" s="85" t="n"/>
      <c r="F28" s="85" t="n"/>
      <c r="G28" s="85" t="n"/>
      <c r="H28" s="85" t="n"/>
      <c r="I28" s="85" t="n"/>
      <c r="J28" s="85" t="n"/>
      <c r="K28" s="85" t="n"/>
      <c r="L28" s="85" t="n"/>
      <c r="M28" s="45" t="n"/>
    </row>
    <row r="29" ht="30" customHeight="1" s="43">
      <c r="A29" s="45" t="n"/>
      <c r="B29" s="86" t="inlineStr">
        <is>
          <t>TOTAL DO MÊS</t>
        </is>
      </c>
      <c r="C29" s="87">
        <f>IFERROR(COUNTIFS(INDIRECT("'"&amp;C5&amp;"'!C:C"),"Débito à Vista"),0)</f>
        <v/>
      </c>
      <c r="D29" s="88">
        <f>IFERROR(SUMIFS(INDIRECT("'"&amp;C5&amp;"'!E:E"),INDIRECT("'"&amp;C5&amp;"'!C:C"),"Débito à Vista"),0)</f>
        <v/>
      </c>
      <c r="E29" s="87">
        <f>IFERROR(COUNTIFS(INDIRECT("'"&amp;C5&amp;"'!C:C"),"Crédito à Vista"),0)</f>
        <v/>
      </c>
      <c r="F29" s="88">
        <f>IFERROR(SUMIFS(INDIRECT("'"&amp;C5&amp;"'!E:E"),INDIRECT("'"&amp;C5&amp;"'!C:C"),"Crédito à Vista"),0)</f>
        <v/>
      </c>
      <c r="G29" s="87">
        <f>IFERROR(COUNTIFS(INDIRECT("'"&amp;C5&amp;"'!C:C"),"Sicoob"),0)</f>
        <v/>
      </c>
      <c r="H29" s="88">
        <f>IFERROR(SUMIFS(INDIRECT("'"&amp;C5&amp;"'!E:E"),INDIRECT("'"&amp;C5&amp;"'!C:C"),"Sicoob"),0)</f>
        <v/>
      </c>
      <c r="I29" s="87">
        <f>IFERROR(COUNTIFS(INDIRECT("'"&amp;C5&amp;"'!C:C"),"Caixa"),0)</f>
        <v/>
      </c>
      <c r="J29" s="88">
        <f>IFERROR(SUMIFS(INDIRECT("'"&amp;C5&amp;"'!E:E"),INDIRECT("'"&amp;C5&amp;"'!C:C"),"Caixa"),0)</f>
        <v/>
      </c>
      <c r="K29" s="89">
        <f>IFERROR(C29+E29+G29+I29,0)</f>
        <v/>
      </c>
      <c r="L29" s="90">
        <f>IFERROR(D29+F29+H29+J29,0)</f>
        <v/>
      </c>
      <c r="M29" s="45" t="n"/>
    </row>
    <row r="30" ht="15" customHeight="1" s="43">
      <c r="A30" s="45" t="n"/>
      <c r="B30" s="45" t="n"/>
      <c r="C30" s="45" t="n"/>
      <c r="D30" s="45" t="n"/>
      <c r="E30" s="45" t="n"/>
      <c r="F30" s="45" t="n"/>
      <c r="G30" s="45" t="n"/>
      <c r="H30" s="45" t="n"/>
      <c r="I30" s="45" t="n"/>
      <c r="J30" s="45" t="n"/>
      <c r="K30" s="45" t="n"/>
      <c r="L30" s="45" t="n"/>
      <c r="M30" s="45" t="n"/>
    </row>
    <row r="31" ht="15" customHeight="1" s="43">
      <c r="A31" s="45" t="n"/>
      <c r="B31" s="45" t="n"/>
      <c r="C31" s="45" t="n"/>
      <c r="D31" s="45" t="n"/>
      <c r="E31" s="45" t="n"/>
      <c r="F31" s="45" t="n"/>
      <c r="G31" s="45" t="n"/>
      <c r="H31" s="45" t="n"/>
      <c r="I31" s="45" t="n"/>
      <c r="J31" s="45" t="n"/>
      <c r="K31" s="45" t="n"/>
      <c r="L31" s="45" t="n"/>
      <c r="M31" s="45" t="n"/>
    </row>
  </sheetData>
  <mergeCells count="11">
    <mergeCell ref="E4:L4"/>
    <mergeCell ref="K7:L7"/>
    <mergeCell ref="K8:L8"/>
    <mergeCell ref="B2:L2"/>
    <mergeCell ref="C7:F7"/>
    <mergeCell ref="G7:J7"/>
    <mergeCell ref="I8:J8"/>
    <mergeCell ref="G8:H8"/>
    <mergeCell ref="E8:F8"/>
    <mergeCell ref="C8:D8"/>
    <mergeCell ref="C4:D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5" customWidth="1" style="43" min="1" max="1"/>
    <col width="22" customWidth="1" style="43" min="2" max="2"/>
    <col width="18" customWidth="1" style="43" min="3" max="3"/>
    <col width="13" customWidth="1" style="43" min="4" max="4"/>
    <col width="15" customWidth="1" style="43" min="5" max="5"/>
    <col width="10" customWidth="1" style="43" min="6" max="6"/>
    <col width="13" customWidth="1" style="43" min="7" max="7"/>
  </cols>
  <sheetData>
    <row r="1" ht="34" customHeight="1" s="43">
      <c r="A1" s="91" t="inlineStr">
        <is>
          <t>Notas  —  Maio 2026</t>
        </is>
      </c>
    </row>
    <row r="2" ht="3" customHeight="1" s="43">
      <c r="A2" s="92" t="n"/>
    </row>
    <row r="3" ht="8" customHeight="1" s="43"/>
    <row r="4" ht="28" customHeight="1" s="43">
      <c r="A4" s="93" t="inlineStr">
        <is>
          <t>TOTAL DO MÊS</t>
        </is>
      </c>
      <c r="D4" s="94" t="n"/>
      <c r="E4" s="95">
        <f>IFERROR(SUM(E8:E9999),0)</f>
        <v/>
      </c>
      <c r="F4" s="94" t="n"/>
      <c r="G4" s="94" t="n"/>
    </row>
    <row r="5" ht="8" customHeight="1" s="43"/>
    <row r="8" ht="22" customHeight="1" s="43">
      <c r="A8" s="96" t="inlineStr">
        <is>
          <t xml:space="preserve">  Sáb  09/05/2026</t>
        </is>
      </c>
    </row>
    <row r="9" ht="20" customHeight="1" s="43">
      <c r="A9" s="97" t="inlineStr">
        <is>
          <t>#</t>
        </is>
      </c>
      <c r="B9" s="97" t="inlineStr">
        <is>
          <t>Bandeira</t>
        </is>
      </c>
      <c r="C9" s="97" t="inlineStr">
        <is>
          <t>Tipo</t>
        </is>
      </c>
      <c r="D9" s="97" t="inlineStr">
        <is>
          <t>Data</t>
        </is>
      </c>
      <c r="E9" s="97" t="inlineStr">
        <is>
          <t>Valor (R$)</t>
        </is>
      </c>
      <c r="F9" s="97" t="inlineStr">
        <is>
          <t>Hora</t>
        </is>
      </c>
      <c r="G9" s="97" t="inlineStr">
        <is>
          <t>Status</t>
        </is>
      </c>
    </row>
    <row r="10" ht="22" customHeight="1" s="43">
      <c r="A10" s="98" t="n">
        <v>1</v>
      </c>
      <c r="B10" s="99" t="inlineStr">
        <is>
          <t>Mastercard</t>
        </is>
      </c>
      <c r="C10" s="100" t="inlineStr">
        <is>
          <t>Crédito à Vista</t>
        </is>
      </c>
      <c r="D10" s="101" t="n">
        <v>46151</v>
      </c>
      <c r="E10" s="102" t="n">
        <v>309.98</v>
      </c>
      <c r="F10" s="98" t="inlineStr">
        <is>
          <t>22:32:32</t>
        </is>
      </c>
      <c r="G10" s="103" t="inlineStr">
        <is>
          <t>S/data</t>
        </is>
      </c>
    </row>
    <row r="11" ht="22" customHeight="1" s="43">
      <c r="A11" s="104" t="n">
        <v>2</v>
      </c>
      <c r="B11" s="105" t="inlineStr">
        <is>
          <t>PIX</t>
        </is>
      </c>
      <c r="C11" s="106" t="inlineStr">
        <is>
          <t>Sicoob</t>
        </is>
      </c>
      <c r="D11" s="107" t="n">
        <v>46151</v>
      </c>
      <c r="E11" s="108" t="n">
        <v>127.8</v>
      </c>
      <c r="F11" s="104" t="inlineStr">
        <is>
          <t>22:32:44</t>
        </is>
      </c>
      <c r="G11" s="109" t="inlineStr">
        <is>
          <t>S/data</t>
        </is>
      </c>
    </row>
    <row r="12" ht="22" customHeight="1" s="43">
      <c r="A12" s="98" t="n">
        <v>3</v>
      </c>
      <c r="B12" s="99" t="inlineStr">
        <is>
          <t>Visa</t>
        </is>
      </c>
      <c r="C12" s="100" t="inlineStr">
        <is>
          <t>Débito à Vista</t>
        </is>
      </c>
      <c r="D12" s="101" t="n">
        <v>46151</v>
      </c>
      <c r="E12" s="102" t="n">
        <v>20</v>
      </c>
      <c r="F12" s="98" t="inlineStr">
        <is>
          <t>22:32:52</t>
        </is>
      </c>
      <c r="G12" s="103" t="inlineStr">
        <is>
          <t>S/data</t>
        </is>
      </c>
    </row>
    <row r="13" ht="20" customHeight="1" s="43">
      <c r="A13" s="110" t="inlineStr">
        <is>
          <t xml:space="preserve">  Subtotal  Sáb  09/05</t>
        </is>
      </c>
      <c r="E13" s="111">
        <f>SUM(E10:E12)</f>
        <v/>
      </c>
      <c r="F13" s="112" t="n"/>
      <c r="G13" s="112" t="n"/>
    </row>
  </sheetData>
  <mergeCells count="5">
    <mergeCell ref="A1:G1"/>
    <mergeCell ref="A8:G8"/>
    <mergeCell ref="A2:G2"/>
    <mergeCell ref="A4:C4"/>
    <mergeCell ref="A13:D13"/>
  </mergeCells>
  <dataValidations count="2">
    <dataValidation sqref="B8:B9999" showDropDown="0" showInputMessage="0" showErrorMessage="1" allowBlank="1" errorTitle="Inválido" error="Use a lista." type="list">
      <formula1>ListaBandeiras</formula1>
    </dataValidation>
    <dataValidation sqref="C8:C9999" showDropDown="0" showInputMessage="0" showErrorMessage="1" allowBlank="1" errorTitle="Inválido" error="Use a lista." type="list">
      <formula1>ListaTipos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2026-05-10T01:28:14Z</dcterms:created>
  <dcterms:modified xmlns:dcterms="http://purl.org/dc/terms/" xmlns:xsi="http://www.w3.org/2001/XMLSchema-instance" xsi:type="dcterms:W3CDTF">2026-05-10T01:32:58Z</dcterms:modified>
  <cp:revision>0</cp:revision>
</cp:coreProperties>
</file>