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onfig" sheetId="1" state="hidden" r:id="rId3"/>
    <sheet name="Painel" sheetId="2" state="visible" r:id="rId4"/>
  </sheets>
  <definedNames>
    <definedName function="false" hidden="false" name="ListaBandeiras" vbProcedure="false">Config!$A$1:$A$16</definedName>
    <definedName function="false" hidden="false" name="ListaTipos" vbProcedure="false">Config!$B$1:$B$4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<sst xmlns="http://schemas.openxmlformats.org/spreadsheetml/2006/main" count="60" uniqueCount="30">
  <si>
    <t xml:space="preserve">Visa</t>
  </si>
  <si>
    <t xml:space="preserve">Débito à Vista</t>
  </si>
  <si>
    <t xml:space="preserve">Visa Electron</t>
  </si>
  <si>
    <t xml:space="preserve">Crédito à Vista</t>
  </si>
  <si>
    <t xml:space="preserve">Visa Vale</t>
  </si>
  <si>
    <t xml:space="preserve">Sicoob</t>
  </si>
  <si>
    <t xml:space="preserve">Visa Pré-pago</t>
  </si>
  <si>
    <t xml:space="preserve">Caixa</t>
  </si>
  <si>
    <t xml:space="preserve">Mastercard</t>
  </si>
  <si>
    <t xml:space="preserve">Mastercard Pré-pago</t>
  </si>
  <si>
    <t xml:space="preserve">Maestro</t>
  </si>
  <si>
    <t xml:space="preserve">Elo</t>
  </si>
  <si>
    <t xml:space="preserve">Elo Pré-pago</t>
  </si>
  <si>
    <t xml:space="preserve">Hipercard</t>
  </si>
  <si>
    <t xml:space="preserve">American Express</t>
  </si>
  <si>
    <t xml:space="preserve">Cabal</t>
  </si>
  <si>
    <t xml:space="preserve">Cabal Pré-pago</t>
  </si>
  <si>
    <t xml:space="preserve">Alelo</t>
  </si>
  <si>
    <t xml:space="preserve">Diners Club</t>
  </si>
  <si>
    <t xml:space="preserve">PIX</t>
  </si>
  <si>
    <t xml:space="preserve">Leitor de Notas  —  Resumo por Bandeira e Tipo</t>
  </si>
  <si>
    <t xml:space="preserve">Data:</t>
  </si>
  <si>
    <t xml:space="preserve">Sistema preenche automaticamente · você pode alterar para filtrar outro dia</t>
  </si>
  <si>
    <t xml:space="preserve">CARTÕES</t>
  </si>
  <si>
    <t xml:space="preserve">TOTAL</t>
  </si>
  <si>
    <t xml:space="preserve">Total Geral</t>
  </si>
  <si>
    <t xml:space="preserve">Bandeira / Tipo</t>
  </si>
  <si>
    <t xml:space="preserve">Qtd</t>
  </si>
  <si>
    <t xml:space="preserve">Valor (R$)</t>
  </si>
  <si>
    <t xml:space="preserve">TOTAL GERAL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</si>
</sst>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;\-"/>
    <numFmt numFmtId="167" formatCode="&quot;R$ &quot;#,##0.0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B2A3B"/>
      <name val="Calibri"/>
      <family val="0"/>
      <charset val="1"/>
    </font>
    <font>
      <b val="true"/>
      <sz val="10"/>
      <color rgb="FF6C757D"/>
      <name val="Calibri"/>
      <family val="0"/>
      <charset val="1"/>
    </font>
    <font>
      <b val="true"/>
      <sz val="15"/>
      <color rgb="FF1B2A3B"/>
      <name val="Calibri"/>
      <family val="0"/>
      <charset val="1"/>
    </font>
    <font>
      <sz val="8"/>
      <color rgb="FFADB5BD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B2A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8"/>
      <color rgb="FF1971C2"/>
      <name val="Calibri"/>
      <family val="0"/>
      <charset val="1"/>
    </font>
    <font>
      <b val="true"/>
      <sz val="8"/>
      <color rgb="FF0284C7"/>
      <name val="Calibri"/>
      <family val="0"/>
      <charset val="1"/>
    </font>
    <font>
      <sz val="10"/>
      <color rgb="FF6C757D"/>
      <name val="Calibri"/>
      <family val="0"/>
      <charset val="1"/>
    </font>
    <font>
      <sz val="10"/>
      <color rgb="FF212529"/>
      <name val="Calibri"/>
      <family val="0"/>
      <charset val="1"/>
    </font>
    <font>
      <b val="true"/>
      <sz val="10"/>
      <color rgb="FF2F9E44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FFE066"/>
        <bgColor rgb="FFFFCC00"/>
      </patternFill>
    </fill>
    <fill>
      <patternFill patternType="solid">
        <fgColor rgb="FF1B2A3B"/>
        <bgColor rgb="FF212529"/>
      </patternFill>
    </fill>
    <fill>
      <patternFill patternType="solid">
        <fgColor rgb="FF1971C2"/>
        <bgColor rgb="FF0284C7"/>
      </patternFill>
    </fill>
    <fill>
      <patternFill patternType="solid">
        <fgColor rgb="FF0284C7"/>
        <bgColor rgb="FF1971C2"/>
      </patternFill>
    </fill>
    <fill>
      <patternFill patternType="solid">
        <fgColor rgb="FF1B4332"/>
        <bgColor rgb="FF1B2A3B"/>
      </patternFill>
    </fill>
    <fill>
      <patternFill patternType="solid">
        <fgColor rgb="FFD0EBFF"/>
        <bgColor rgb="FFE0F2FE"/>
      </patternFill>
    </fill>
    <fill>
      <patternFill patternType="solid">
        <fgColor rgb="FFE0F2FE"/>
        <bgColor rgb="FFE7F5FF"/>
      </patternFill>
    </fill>
    <fill>
      <patternFill patternType="solid">
        <fgColor rgb="FFE7F5FF"/>
        <bgColor rgb="FFE0F2FE"/>
      </patternFill>
    </fill>
    <fill>
      <patternFill patternType="solid">
        <fgColor rgb="FFBAE6FD"/>
        <bgColor rgb="FFD0EBFF"/>
      </patternFill>
    </fill>
    <fill>
      <patternFill patternType="solid">
        <fgColor rgb="FFE8EEF7"/>
        <bgColor rgb="FFE9ECEF"/>
      </patternFill>
    </fill>
    <fill>
      <patternFill patternType="solid">
        <fgColor rgb="FFD3F9D8"/>
        <bgColor rgb="FFE0F2F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E9ECEF"/>
      </left>
      <right/>
      <top style="thin">
        <color rgb="FFE9ECEF"/>
      </top>
      <bottom style="thin">
        <color rgb="FFE9ECEF"/>
      </bottom>
      <diagonal/>
    </border>
    <border diagonalUp="false" diagonalDown="false">
      <left style="medium">
        <color rgb="FF1971C2"/>
      </left>
      <right/>
      <top style="medium">
        <color rgb="FF1971C2"/>
      </top>
      <bottom style="medium">
        <color rgb="FF1971C2"/>
      </bottom>
      <diagonal/>
    </border>
    <border diagonalUp="false" diagonalDown="false">
      <left style="thin">
        <color rgb="FF1B2A3B"/>
      </left>
      <right style="thin">
        <color rgb="FF1B2A3B"/>
      </right>
      <top style="thin">
        <color rgb="FF1B2A3B"/>
      </top>
      <bottom style="thin">
        <color rgb="FF1B2A3B"/>
      </bottom>
      <diagonal/>
    </border>
    <border diagonalUp="false" diagonalDown="false">
      <left style="thin">
        <color rgb="FF1971C2"/>
      </left>
      <right/>
      <top style="thin">
        <color rgb="FF1971C2"/>
      </top>
      <bottom style="thin">
        <color rgb="FF1971C2"/>
      </bottom>
      <diagonal/>
    </border>
    <border diagonalUp="false" diagonalDown="false">
      <left style="thin">
        <color rgb="FF0284C7"/>
      </left>
      <right/>
      <top style="thin">
        <color rgb="FF0284C7"/>
      </top>
      <bottom style="thin">
        <color rgb="FF0284C7"/>
      </bottom>
      <diagonal/>
    </border>
    <border diagonalUp="false" diagonalDown="false">
      <left style="thin">
        <color rgb="FF1B4332"/>
      </left>
      <right/>
      <top style="thin">
        <color rgb="FF1B4332"/>
      </top>
      <bottom style="thin">
        <color rgb="FF1B4332"/>
      </bottom>
      <diagonal/>
    </border>
    <border diagonalUp="false" diagonalDown="false">
      <left style="thin">
        <color rgb="FF1971C2"/>
      </left>
      <right style="thin">
        <color rgb="FF1971C2"/>
      </right>
      <top style="thin">
        <color rgb="FF1971C2"/>
      </top>
      <bottom style="thin">
        <color rgb="FF1971C2"/>
      </bottom>
      <diagonal/>
    </border>
    <border diagonalUp="false" diagonalDown="false"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 diagonalUp="false" diagonalDown="false"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  <border diagonalUp="false" diagonalDown="false">
      <left style="medium">
        <color rgb="FF1B2A3B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 diagonalUp="false" diagonalDown="false"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 diagonalUp="false" diagonalDown="false">
      <left style="thin">
        <color rgb="FF2F9E44"/>
      </left>
      <right style="thin">
        <color rgb="FF2F9E44"/>
      </right>
      <top style="thin">
        <color rgb="FF2F9E44"/>
      </top>
      <bottom style="thin">
        <color rgb="FF2F9E44"/>
      </bottom>
      <diagonal/>
    </border>
    <border diagonalUp="false" diagonalDown="false">
      <left style="medium">
        <color rgb="FF0284C7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 diagonalUp="false" diagonalDown="false">
      <left style="medium">
        <color rgb="FF1B4332"/>
      </left>
      <right style="thin">
        <color rgb="FFE9ECEF"/>
      </right>
      <top style="medium">
        <color rgb="FF1B4332"/>
      </top>
      <bottom style="medium">
        <color rgb="FF1B43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ADB5BD"/>
      <rgbColor rgb="FF6C757D"/>
      <rgbColor rgb="FF9999FF"/>
      <rgbColor rgb="FF993366"/>
      <rgbColor rgb="FFF8F9FA"/>
      <rgbColor rgb="FFE0F2FE"/>
      <rgbColor rgb="FF660066"/>
      <rgbColor rgb="FFFF8080"/>
      <rgbColor rgb="FF1971C2"/>
      <rgbColor rgb="FFBAE6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BFF"/>
      <rgbColor rgb="FFD3F9D8"/>
      <rgbColor rgb="FFE9ECEF"/>
      <rgbColor rgb="FFE8EEF7"/>
      <rgbColor rgb="FFFF99CC"/>
      <rgbColor rgb="FFE7F5FF"/>
      <rgbColor rgb="FFFFE0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3B"/>
      <rgbColor rgb="FF2F9E44"/>
      <rgbColor rgb="FF003300"/>
      <rgbColor rgb="FF1B4332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</row>
    <row r="6" customFormat="false" ht="15" hidden="false" customHeight="false" outlineLevel="0" collapsed="false">
      <c r="A6" s="0" t="s">
        <v>9</v>
      </c>
    </row>
    <row r="7" customFormat="false" ht="15" hidden="false" customHeight="false" outlineLevel="0" collapsed="false">
      <c r="A7" s="0" t="s">
        <v>10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12</v>
      </c>
    </row>
    <row r="10" customFormat="false" ht="15" hidden="false" customHeight="false" outlineLevel="0" collapsed="false">
      <c r="A10" s="0" t="s">
        <v>13</v>
      </c>
    </row>
    <row r="11" customFormat="false" ht="15" hidden="false" customHeight="false" outlineLevel="0" collapsed="false">
      <c r="A11" s="0" t="s">
        <v>14</v>
      </c>
    </row>
    <row r="12" customFormat="false" ht="15" hidden="false" customHeight="false" outlineLevel="0" collapsed="false">
      <c r="A12" s="0" t="s">
        <v>15</v>
      </c>
    </row>
    <row r="13" customFormat="false" ht="15" hidden="false" customHeight="false" outlineLevel="0" collapsed="false">
      <c r="A13" s="0" t="s">
        <v>16</v>
      </c>
    </row>
    <row r="14" customFormat="false" ht="15" hidden="false" customHeight="false" outlineLevel="0" collapsed="false">
      <c r="A14" s="0" t="s">
        <v>17</v>
      </c>
    </row>
    <row r="15" customFormat="false" ht="15" hidden="false" customHeight="false" outlineLevel="0" collapsed="false">
      <c r="A15" s="0" t="s">
        <v>18</v>
      </c>
    </row>
    <row r="16" customFormat="false" ht="15" hidden="false" customHeight="false" outlineLevel="0" collapsed="false">
      <c r="A16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false" outlineLevel="0" max="11" min="11" style="0" width="6"/>
    <col collapsed="false" customWidth="true" hidden="false" outlineLevel="0" max="12" min="12" style="0" width="13"/>
    <col collapsed="false" customWidth="true" hidden="false" outlineLevel="0" max="13" min="13" style="0" width="1.5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"/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39.75" hidden="false" customHeight="true" outlineLevel="0" collapsed="false">
      <c r="A4" s="1"/>
      <c r="B4" s="3" t="s">
        <v>21</v>
      </c>
      <c r="C4" s="4"/>
      <c r="D4" s="4"/>
      <c r="E4" s="5" t="s">
        <v>22</v>
      </c>
      <c r="F4" s="5"/>
      <c r="G4" s="5"/>
      <c r="H4" s="5"/>
      <c r="I4" s="5"/>
      <c r="J4" s="5"/>
      <c r="K4" s="5"/>
      <c r="L4" s="5"/>
      <c r="M4" s="1"/>
    </row>
    <row r="5" customFormat="false" ht="15" hidden="false" customHeight="true" outlineLevel="0" collapsed="false">
      <c r="A5" s="1"/>
      <c r="B5" s="1"/>
      <c r="C5" s="6" t="str">
        <f aca="false">IFERROR(TEXT(C4,"AAAA")&amp;"-"&amp;TEXT(MONTH(C4),"00"),"")</f>
        <v>Shabbat-12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9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18" hidden="false" customHeight="true" outlineLevel="0" collapsed="false">
      <c r="A7" s="1"/>
      <c r="B7" s="7"/>
      <c r="C7" s="8" t="s">
        <v>23</v>
      </c>
      <c r="D7" s="8"/>
      <c r="E7" s="8"/>
      <c r="F7" s="8"/>
      <c r="G7" s="9" t="s">
        <v>19</v>
      </c>
      <c r="H7" s="9"/>
      <c r="I7" s="9"/>
      <c r="J7" s="9"/>
      <c r="K7" s="10" t="s">
        <v>24</v>
      </c>
      <c r="L7" s="10"/>
      <c r="M7" s="1"/>
    </row>
    <row r="8" customFormat="false" ht="27.75" hidden="false" customHeight="true" outlineLevel="0" collapsed="false">
      <c r="A8" s="1"/>
      <c r="B8" s="7"/>
      <c r="C8" s="11" t="s">
        <v>1</v>
      </c>
      <c r="D8" s="11"/>
      <c r="E8" s="11" t="s">
        <v>3</v>
      </c>
      <c r="F8" s="11"/>
      <c r="G8" s="12" t="s">
        <v>5</v>
      </c>
      <c r="H8" s="12"/>
      <c r="I8" s="12" t="s">
        <v>7</v>
      </c>
      <c r="J8" s="12"/>
      <c r="K8" s="13" t="s">
        <v>25</v>
      </c>
      <c r="L8" s="13"/>
      <c r="M8" s="1"/>
    </row>
    <row r="9" customFormat="false" ht="15.75" hidden="false" customHeight="true" outlineLevel="0" collapsed="false">
      <c r="A9" s="1"/>
      <c r="B9" s="14" t="s">
        <v>26</v>
      </c>
      <c r="C9" s="15" t="s">
        <v>27</v>
      </c>
      <c r="D9" s="15" t="s">
        <v>28</v>
      </c>
      <c r="E9" s="15" t="s">
        <v>27</v>
      </c>
      <c r="F9" s="15" t="s">
        <v>28</v>
      </c>
      <c r="G9" s="16" t="s">
        <v>27</v>
      </c>
      <c r="H9" s="16" t="s">
        <v>28</v>
      </c>
      <c r="I9" s="16" t="s">
        <v>27</v>
      </c>
      <c r="J9" s="16" t="s">
        <v>28</v>
      </c>
      <c r="K9" s="17" t="s">
        <v>27</v>
      </c>
      <c r="L9" s="17" t="s">
        <v>28</v>
      </c>
      <c r="M9" s="1"/>
    </row>
    <row r="10" customFormat="false" ht="24" hidden="false" customHeight="true" outlineLevel="0" collapsed="false">
      <c r="A10" s="1"/>
      <c r="B10" s="18" t="s">
        <v>0</v>
      </c>
      <c r="C10" s="19" t="n">
        <f aca="true">IFERROR(COUNTIFS(INDIRECT("'"&amp;C5&amp;"'!B:B"),$B10,INDIRECT("'"&amp;C5&amp;"'!C:C"),"Débito à Vista",INDIRECT("'"&amp;C5&amp;"'!D:D"),C4),0)</f>
        <v>0</v>
      </c>
      <c r="D10" s="20" t="n">
        <f aca="true">IFERROR(SUMIFS(INDIRECT("'"&amp;C5&amp;"'!E:E"),INDIRECT("'"&amp;C5&amp;"'!B:B"),$B10,INDIRECT("'"&amp;C5&amp;"'!C:C"),"Débito à Vista",INDIRECT("'"&amp;C5&amp;"'!D:D"),C4),0)</f>
        <v>0</v>
      </c>
      <c r="E10" s="21" t="n">
        <f aca="true">IFERROR(COUNTIFS(INDIRECT("'"&amp;C5&amp;"'!B:B"),$B10,INDIRECT("'"&amp;C5&amp;"'!C:C"),"Crédito à Vista",INDIRECT("'"&amp;C5&amp;"'!D:D"),C4),0)</f>
        <v>0</v>
      </c>
      <c r="F10" s="22" t="n">
        <f aca="true">IFERROR(SUMIFS(INDIRECT("'"&amp;C5&amp;"'!E:E"),INDIRECT("'"&amp;C5&amp;"'!B:B"),$B10,INDIRECT("'"&amp;C5&amp;"'!C:C"),"Crédito à Vista",INDIRECT("'"&amp;C5&amp;"'!D:D"),C4),0)</f>
        <v>0</v>
      </c>
      <c r="G10" s="23" t="n">
        <f aca="true">IFERROR(COUNTIFS(INDIRECT("'"&amp;C5&amp;"'!B:B"),$B10,INDIRECT("'"&amp;C5&amp;"'!C:C"),"Sicoob",INDIRECT("'"&amp;C5&amp;"'!D:D"),C4),0)</f>
        <v>0</v>
      </c>
      <c r="H10" s="24" t="n">
        <f aca="true">IFERROR(SUMIFS(INDIRECT("'"&amp;C5&amp;"'!E:E"),INDIRECT("'"&amp;C5&amp;"'!B:B"),$B10,INDIRECT("'"&amp;C5&amp;"'!C:C"),"Sicoob",INDIRECT("'"&amp;C5&amp;"'!D:D"),C4),0)</f>
        <v>0</v>
      </c>
      <c r="I10" s="23" t="n">
        <f aca="true">IFERROR(COUNTIFS(INDIRECT("'"&amp;C5&amp;"'!B:B"),$B10,INDIRECT("'"&amp;C5&amp;"'!C:C"),"Caixa",INDIRECT("'"&amp;C5&amp;"'!D:D"),C4),0)</f>
        <v>0</v>
      </c>
      <c r="J10" s="24" t="n">
        <f aca="true">IFERROR(SUMIFS(INDIRECT("'"&amp;C5&amp;"'!E:E"),INDIRECT("'"&amp;C5&amp;"'!B:B"),$B10,INDIRECT("'"&amp;C5&amp;"'!C:C"),"Caixa",INDIRECT("'"&amp;C5&amp;"'!D:D"),C4),0)</f>
        <v>0</v>
      </c>
      <c r="K10" s="25" t="n">
        <f aca="false">IFERROR(C10+E10+G10+I10,0)</f>
        <v>0</v>
      </c>
      <c r="L10" s="26" t="n">
        <f aca="false">IFERROR(D10+F10+H10+J10,0)</f>
        <v>0</v>
      </c>
      <c r="M10" s="1"/>
    </row>
    <row r="11" customFormat="false" ht="24" hidden="false" customHeight="true" outlineLevel="0" collapsed="false">
      <c r="A11" s="1"/>
      <c r="B11" s="27" t="s">
        <v>2</v>
      </c>
      <c r="C11" s="19" t="n">
        <f aca="true">IFERROR(COUNTIFS(INDIRECT("'"&amp;C5&amp;"'!B:B"),$B11,INDIRECT("'"&amp;C5&amp;"'!C:C"),"Débito à Vista",INDIRECT("'"&amp;C5&amp;"'!D:D"),C4),0)</f>
        <v>0</v>
      </c>
      <c r="D11" s="20" t="n">
        <f aca="true">IFERROR(SUMIFS(INDIRECT("'"&amp;C5&amp;"'!E:E"),INDIRECT("'"&amp;C5&amp;"'!B:B"),$B11,INDIRECT("'"&amp;C5&amp;"'!C:C"),"Débito à Vista",INDIRECT("'"&amp;C5&amp;"'!D:D"),C4),0)</f>
        <v>0</v>
      </c>
      <c r="E11" s="21" t="n">
        <f aca="true">IFERROR(COUNTIFS(INDIRECT("'"&amp;C5&amp;"'!B:B"),$B11,INDIRECT("'"&amp;C5&amp;"'!C:C"),"Crédito à Vista",INDIRECT("'"&amp;C5&amp;"'!D:D"),C4),0)</f>
        <v>0</v>
      </c>
      <c r="F11" s="22" t="n">
        <f aca="true">IFERROR(SUMIFS(INDIRECT("'"&amp;C5&amp;"'!E:E"),INDIRECT("'"&amp;C5&amp;"'!B:B"),$B11,INDIRECT("'"&amp;C5&amp;"'!C:C"),"Crédito à Vista",INDIRECT("'"&amp;C5&amp;"'!D:D"),C4),0)</f>
        <v>0</v>
      </c>
      <c r="G11" s="23" t="n">
        <f aca="true">IFERROR(COUNTIFS(INDIRECT("'"&amp;C5&amp;"'!B:B"),$B11,INDIRECT("'"&amp;C5&amp;"'!C:C"),"Sicoob",INDIRECT("'"&amp;C5&amp;"'!D:D"),C4),0)</f>
        <v>0</v>
      </c>
      <c r="H11" s="24" t="n">
        <f aca="true">IFERROR(SUMIFS(INDIRECT("'"&amp;C5&amp;"'!E:E"),INDIRECT("'"&amp;C5&amp;"'!B:B"),$B11,INDIRECT("'"&amp;C5&amp;"'!C:C"),"Sicoob",INDIRECT("'"&amp;C5&amp;"'!D:D"),C4),0)</f>
        <v>0</v>
      </c>
      <c r="I11" s="23" t="n">
        <f aca="true">IFERROR(COUNTIFS(INDIRECT("'"&amp;C5&amp;"'!B:B"),$B11,INDIRECT("'"&amp;C5&amp;"'!C:C"),"Caixa",INDIRECT("'"&amp;C5&amp;"'!D:D"),C4),0)</f>
        <v>0</v>
      </c>
      <c r="J11" s="24" t="n">
        <f aca="true">IFERROR(SUMIFS(INDIRECT("'"&amp;C5&amp;"'!E:E"),INDIRECT("'"&amp;C5&amp;"'!B:B"),$B11,INDIRECT("'"&amp;C5&amp;"'!C:C"),"Caixa",INDIRECT("'"&amp;C5&amp;"'!D:D"),C4),0)</f>
        <v>0</v>
      </c>
      <c r="K11" s="25" t="n">
        <f aca="false">IFERROR(C11+E11+G11+I11,0)</f>
        <v>0</v>
      </c>
      <c r="L11" s="26" t="n">
        <f aca="false">IFERROR(D11+F11+H11+J11,0)</f>
        <v>0</v>
      </c>
      <c r="M11" s="1"/>
    </row>
    <row r="12" customFormat="false" ht="24" hidden="false" customHeight="true" outlineLevel="0" collapsed="false">
      <c r="A12" s="1"/>
      <c r="B12" s="18" t="s">
        <v>4</v>
      </c>
      <c r="C12" s="19" t="n">
        <f aca="true">IFERROR(COUNTIFS(INDIRECT("'"&amp;C5&amp;"'!B:B"),$B12,INDIRECT("'"&amp;C5&amp;"'!C:C"),"Débito à Vista",INDIRECT("'"&amp;C5&amp;"'!D:D"),C4),0)</f>
        <v>0</v>
      </c>
      <c r="D12" s="20" t="n">
        <f aca="true">IFERROR(SUMIFS(INDIRECT("'"&amp;C5&amp;"'!E:E"),INDIRECT("'"&amp;C5&amp;"'!B:B"),$B12,INDIRECT("'"&amp;C5&amp;"'!C:C"),"Débito à Vista",INDIRECT("'"&amp;C5&amp;"'!D:D"),C4),0)</f>
        <v>0</v>
      </c>
      <c r="E12" s="21" t="n">
        <f aca="true">IFERROR(COUNTIFS(INDIRECT("'"&amp;C5&amp;"'!B:B"),$B12,INDIRECT("'"&amp;C5&amp;"'!C:C"),"Crédito à Vista",INDIRECT("'"&amp;C5&amp;"'!D:D"),C4),0)</f>
        <v>0</v>
      </c>
      <c r="F12" s="22" t="n">
        <f aca="true">IFERROR(SUMIFS(INDIRECT("'"&amp;C5&amp;"'!E:E"),INDIRECT("'"&amp;C5&amp;"'!B:B"),$B12,INDIRECT("'"&amp;C5&amp;"'!C:C"),"Crédito à Vista",INDIRECT("'"&amp;C5&amp;"'!D:D"),C4),0)</f>
        <v>0</v>
      </c>
      <c r="G12" s="23" t="n">
        <f aca="true">IFERROR(COUNTIFS(INDIRECT("'"&amp;C5&amp;"'!B:B"),$B12,INDIRECT("'"&amp;C5&amp;"'!C:C"),"Sicoob",INDIRECT("'"&amp;C5&amp;"'!D:D"),C4),0)</f>
        <v>0</v>
      </c>
      <c r="H12" s="24" t="n">
        <f aca="true">IFERROR(SUMIFS(INDIRECT("'"&amp;C5&amp;"'!E:E"),INDIRECT("'"&amp;C5&amp;"'!B:B"),$B12,INDIRECT("'"&amp;C5&amp;"'!C:C"),"Sicoob",INDIRECT("'"&amp;C5&amp;"'!D:D"),C4),0)</f>
        <v>0</v>
      </c>
      <c r="I12" s="23" t="n">
        <f aca="true">IFERROR(COUNTIFS(INDIRECT("'"&amp;C5&amp;"'!B:B"),$B12,INDIRECT("'"&amp;C5&amp;"'!C:C"),"Caixa",INDIRECT("'"&amp;C5&amp;"'!D:D"),C4),0)</f>
        <v>0</v>
      </c>
      <c r="J12" s="24" t="n">
        <f aca="true">IFERROR(SUMIFS(INDIRECT("'"&amp;C5&amp;"'!E:E"),INDIRECT("'"&amp;C5&amp;"'!B:B"),$B12,INDIRECT("'"&amp;C5&amp;"'!C:C"),"Caixa",INDIRECT("'"&amp;C5&amp;"'!D:D"),C4),0)</f>
        <v>0</v>
      </c>
      <c r="K12" s="25" t="n">
        <f aca="false">IFERROR(C12+E12+G12+I12,0)</f>
        <v>0</v>
      </c>
      <c r="L12" s="26" t="n">
        <f aca="false">IFERROR(D12+F12+H12+J12,0)</f>
        <v>0</v>
      </c>
      <c r="M12" s="1"/>
    </row>
    <row r="13" customFormat="false" ht="24" hidden="false" customHeight="true" outlineLevel="0" collapsed="false">
      <c r="A13" s="1"/>
      <c r="B13" s="27" t="s">
        <v>6</v>
      </c>
      <c r="C13" s="19" t="n">
        <f aca="true">IFERROR(COUNTIFS(INDIRECT("'"&amp;C5&amp;"'!B:B"),$B13,INDIRECT("'"&amp;C5&amp;"'!C:C"),"Débito à Vista",INDIRECT("'"&amp;C5&amp;"'!D:D"),C4),0)</f>
        <v>0</v>
      </c>
      <c r="D13" s="20" t="n">
        <f aca="true">IFERROR(SUMIFS(INDIRECT("'"&amp;C5&amp;"'!E:E"),INDIRECT("'"&amp;C5&amp;"'!B:B"),$B13,INDIRECT("'"&amp;C5&amp;"'!C:C"),"Débito à Vista",INDIRECT("'"&amp;C5&amp;"'!D:D"),C4),0)</f>
        <v>0</v>
      </c>
      <c r="E13" s="21" t="n">
        <f aca="true">IFERROR(COUNTIFS(INDIRECT("'"&amp;C5&amp;"'!B:B"),$B13,INDIRECT("'"&amp;C5&amp;"'!C:C"),"Crédito à Vista",INDIRECT("'"&amp;C5&amp;"'!D:D"),C4),0)</f>
        <v>0</v>
      </c>
      <c r="F13" s="22" t="n">
        <f aca="true">IFERROR(SUMIFS(INDIRECT("'"&amp;C5&amp;"'!E:E"),INDIRECT("'"&amp;C5&amp;"'!B:B"),$B13,INDIRECT("'"&amp;C5&amp;"'!C:C"),"Crédito à Vista",INDIRECT("'"&amp;C5&amp;"'!D:D"),C4),0)</f>
        <v>0</v>
      </c>
      <c r="G13" s="23" t="n">
        <f aca="true">IFERROR(COUNTIFS(INDIRECT("'"&amp;C5&amp;"'!B:B"),$B13,INDIRECT("'"&amp;C5&amp;"'!C:C"),"Sicoob",INDIRECT("'"&amp;C5&amp;"'!D:D"),C4),0)</f>
        <v>0</v>
      </c>
      <c r="H13" s="24" t="n">
        <f aca="true">IFERROR(SUMIFS(INDIRECT("'"&amp;C5&amp;"'!E:E"),INDIRECT("'"&amp;C5&amp;"'!B:B"),$B13,INDIRECT("'"&amp;C5&amp;"'!C:C"),"Sicoob",INDIRECT("'"&amp;C5&amp;"'!D:D"),C4),0)</f>
        <v>0</v>
      </c>
      <c r="I13" s="23" t="n">
        <f aca="true">IFERROR(COUNTIFS(INDIRECT("'"&amp;C5&amp;"'!B:B"),$B13,INDIRECT("'"&amp;C5&amp;"'!C:C"),"Caixa",INDIRECT("'"&amp;C5&amp;"'!D:D"),C4),0)</f>
        <v>0</v>
      </c>
      <c r="J13" s="24" t="n">
        <f aca="true">IFERROR(SUMIFS(INDIRECT("'"&amp;C5&amp;"'!E:E"),INDIRECT("'"&amp;C5&amp;"'!B:B"),$B13,INDIRECT("'"&amp;C5&amp;"'!C:C"),"Caixa",INDIRECT("'"&amp;C5&amp;"'!D:D"),C4),0)</f>
        <v>0</v>
      </c>
      <c r="K13" s="25" t="n">
        <f aca="false">IFERROR(C13+E13+G13+I13,0)</f>
        <v>0</v>
      </c>
      <c r="L13" s="26" t="n">
        <f aca="false">IFERROR(D13+F13+H13+J13,0)</f>
        <v>0</v>
      </c>
      <c r="M13" s="1"/>
    </row>
    <row r="14" customFormat="false" ht="24" hidden="false" customHeight="true" outlineLevel="0" collapsed="false">
      <c r="A14" s="1"/>
      <c r="B14" s="18" t="s">
        <v>8</v>
      </c>
      <c r="C14" s="19" t="n">
        <f aca="true">IFERROR(COUNTIFS(INDIRECT("'"&amp;C5&amp;"'!B:B"),$B14,INDIRECT("'"&amp;C5&amp;"'!C:C"),"Débito à Vista",INDIRECT("'"&amp;C5&amp;"'!D:D"),C4),0)</f>
        <v>0</v>
      </c>
      <c r="D14" s="20" t="n">
        <f aca="true">IFERROR(SUMIFS(INDIRECT("'"&amp;C5&amp;"'!E:E"),INDIRECT("'"&amp;C5&amp;"'!B:B"),$B14,INDIRECT("'"&amp;C5&amp;"'!C:C"),"Débito à Vista",INDIRECT("'"&amp;C5&amp;"'!D:D"),C4),0)</f>
        <v>0</v>
      </c>
      <c r="E14" s="21" t="n">
        <f aca="true">IFERROR(COUNTIFS(INDIRECT("'"&amp;C5&amp;"'!B:B"),$B14,INDIRECT("'"&amp;C5&amp;"'!C:C"),"Crédito à Vista",INDIRECT("'"&amp;C5&amp;"'!D:D"),C4),0)</f>
        <v>0</v>
      </c>
      <c r="F14" s="22" t="n">
        <f aca="true">IFERROR(SUMIFS(INDIRECT("'"&amp;C5&amp;"'!E:E"),INDIRECT("'"&amp;C5&amp;"'!B:B"),$B14,INDIRECT("'"&amp;C5&amp;"'!C:C"),"Crédito à Vista",INDIRECT("'"&amp;C5&amp;"'!D:D"),C4),0)</f>
        <v>0</v>
      </c>
      <c r="G14" s="23" t="n">
        <f aca="true">IFERROR(COUNTIFS(INDIRECT("'"&amp;C5&amp;"'!B:B"),$B14,INDIRECT("'"&amp;C5&amp;"'!C:C"),"Sicoob",INDIRECT("'"&amp;C5&amp;"'!D:D"),C4),0)</f>
        <v>0</v>
      </c>
      <c r="H14" s="24" t="n">
        <f aca="true">IFERROR(SUMIFS(INDIRECT("'"&amp;C5&amp;"'!E:E"),INDIRECT("'"&amp;C5&amp;"'!B:B"),$B14,INDIRECT("'"&amp;C5&amp;"'!C:C"),"Sicoob",INDIRECT("'"&amp;C5&amp;"'!D:D"),C4),0)</f>
        <v>0</v>
      </c>
      <c r="I14" s="23" t="n">
        <f aca="true">IFERROR(COUNTIFS(INDIRECT("'"&amp;C5&amp;"'!B:B"),$B14,INDIRECT("'"&amp;C5&amp;"'!C:C"),"Caixa",INDIRECT("'"&amp;C5&amp;"'!D:D"),C4),0)</f>
        <v>0</v>
      </c>
      <c r="J14" s="24" t="n">
        <f aca="true">IFERROR(SUMIFS(INDIRECT("'"&amp;C5&amp;"'!E:E"),INDIRECT("'"&amp;C5&amp;"'!B:B"),$B14,INDIRECT("'"&amp;C5&amp;"'!C:C"),"Caixa",INDIRECT("'"&amp;C5&amp;"'!D:D"),C4),0)</f>
        <v>0</v>
      </c>
      <c r="K14" s="25" t="n">
        <f aca="false">IFERROR(C14+E14+G14+I14,0)</f>
        <v>0</v>
      </c>
      <c r="L14" s="26" t="n">
        <f aca="false">IFERROR(D14+F14+H14+J14,0)</f>
        <v>0</v>
      </c>
      <c r="M14" s="1"/>
    </row>
    <row r="15" customFormat="false" ht="24" hidden="false" customHeight="true" outlineLevel="0" collapsed="false">
      <c r="A15" s="1"/>
      <c r="B15" s="27" t="s">
        <v>9</v>
      </c>
      <c r="C15" s="19" t="n">
        <f aca="true">IFERROR(COUNTIFS(INDIRECT("'"&amp;C5&amp;"'!B:B"),$B15,INDIRECT("'"&amp;C5&amp;"'!C:C"),"Débito à Vista",INDIRECT("'"&amp;C5&amp;"'!D:D"),C4),0)</f>
        <v>0</v>
      </c>
      <c r="D15" s="20" t="n">
        <f aca="true">IFERROR(SUMIFS(INDIRECT("'"&amp;C5&amp;"'!E:E"),INDIRECT("'"&amp;C5&amp;"'!B:B"),$B15,INDIRECT("'"&amp;C5&amp;"'!C:C"),"Débito à Vista",INDIRECT("'"&amp;C5&amp;"'!D:D"),C4),0)</f>
        <v>0</v>
      </c>
      <c r="E15" s="21" t="n">
        <f aca="true">IFERROR(COUNTIFS(INDIRECT("'"&amp;C5&amp;"'!B:B"),$B15,INDIRECT("'"&amp;C5&amp;"'!C:C"),"Crédito à Vista",INDIRECT("'"&amp;C5&amp;"'!D:D"),C4),0)</f>
        <v>0</v>
      </c>
      <c r="F15" s="22" t="n">
        <f aca="true">IFERROR(SUMIFS(INDIRECT("'"&amp;C5&amp;"'!E:E"),INDIRECT("'"&amp;C5&amp;"'!B:B"),$B15,INDIRECT("'"&amp;C5&amp;"'!C:C"),"Crédito à Vista",INDIRECT("'"&amp;C5&amp;"'!D:D"),C4),0)</f>
        <v>0</v>
      </c>
      <c r="G15" s="23" t="n">
        <f aca="true">IFERROR(COUNTIFS(INDIRECT("'"&amp;C5&amp;"'!B:B"),$B15,INDIRECT("'"&amp;C5&amp;"'!C:C"),"Sicoob",INDIRECT("'"&amp;C5&amp;"'!D:D"),C4),0)</f>
        <v>0</v>
      </c>
      <c r="H15" s="24" t="n">
        <f aca="true">IFERROR(SUMIFS(INDIRECT("'"&amp;C5&amp;"'!E:E"),INDIRECT("'"&amp;C5&amp;"'!B:B"),$B15,INDIRECT("'"&amp;C5&amp;"'!C:C"),"Sicoob",INDIRECT("'"&amp;C5&amp;"'!D:D"),C4),0)</f>
        <v>0</v>
      </c>
      <c r="I15" s="23" t="n">
        <f aca="true">IFERROR(COUNTIFS(INDIRECT("'"&amp;C5&amp;"'!B:B"),$B15,INDIRECT("'"&amp;C5&amp;"'!C:C"),"Caixa",INDIRECT("'"&amp;C5&amp;"'!D:D"),C4),0)</f>
        <v>0</v>
      </c>
      <c r="J15" s="24" t="n">
        <f aca="true">IFERROR(SUMIFS(INDIRECT("'"&amp;C5&amp;"'!E:E"),INDIRECT("'"&amp;C5&amp;"'!B:B"),$B15,INDIRECT("'"&amp;C5&amp;"'!C:C"),"Caixa",INDIRECT("'"&amp;C5&amp;"'!D:D"),C4),0)</f>
        <v>0</v>
      </c>
      <c r="K15" s="25" t="n">
        <f aca="false">IFERROR(C15+E15+G15+I15,0)</f>
        <v>0</v>
      </c>
      <c r="L15" s="26" t="n">
        <f aca="false">IFERROR(D15+F15+H15+J15,0)</f>
        <v>0</v>
      </c>
      <c r="M15" s="1"/>
    </row>
    <row r="16" customFormat="false" ht="24" hidden="false" customHeight="true" outlineLevel="0" collapsed="false">
      <c r="A16" s="1"/>
      <c r="B16" s="18" t="s">
        <v>10</v>
      </c>
      <c r="C16" s="19" t="n">
        <f aca="true">IFERROR(COUNTIFS(INDIRECT("'"&amp;C5&amp;"'!B:B"),$B16,INDIRECT("'"&amp;C5&amp;"'!C:C"),"Débito à Vista",INDIRECT("'"&amp;C5&amp;"'!D:D"),C4),0)</f>
        <v>0</v>
      </c>
      <c r="D16" s="20" t="n">
        <f aca="true">IFERROR(SUMIFS(INDIRECT("'"&amp;C5&amp;"'!E:E"),INDIRECT("'"&amp;C5&amp;"'!B:B"),$B16,INDIRECT("'"&amp;C5&amp;"'!C:C"),"Débito à Vista",INDIRECT("'"&amp;C5&amp;"'!D:D"),C4),0)</f>
        <v>0</v>
      </c>
      <c r="E16" s="21" t="n">
        <f aca="true">IFERROR(COUNTIFS(INDIRECT("'"&amp;C5&amp;"'!B:B"),$B16,INDIRECT("'"&amp;C5&amp;"'!C:C"),"Crédito à Vista",INDIRECT("'"&amp;C5&amp;"'!D:D"),C4),0)</f>
        <v>0</v>
      </c>
      <c r="F16" s="22" t="n">
        <f aca="true">IFERROR(SUMIFS(INDIRECT("'"&amp;C5&amp;"'!E:E"),INDIRECT("'"&amp;C5&amp;"'!B:B"),$B16,INDIRECT("'"&amp;C5&amp;"'!C:C"),"Crédito à Vista",INDIRECT("'"&amp;C5&amp;"'!D:D"),C4),0)</f>
        <v>0</v>
      </c>
      <c r="G16" s="23" t="n">
        <f aca="true">IFERROR(COUNTIFS(INDIRECT("'"&amp;C5&amp;"'!B:B"),$B16,INDIRECT("'"&amp;C5&amp;"'!C:C"),"Sicoob",INDIRECT("'"&amp;C5&amp;"'!D:D"),C4),0)</f>
        <v>0</v>
      </c>
      <c r="H16" s="24" t="n">
        <f aca="true">IFERROR(SUMIFS(INDIRECT("'"&amp;C5&amp;"'!E:E"),INDIRECT("'"&amp;C5&amp;"'!B:B"),$B16,INDIRECT("'"&amp;C5&amp;"'!C:C"),"Sicoob",INDIRECT("'"&amp;C5&amp;"'!D:D"),C4),0)</f>
        <v>0</v>
      </c>
      <c r="I16" s="23" t="n">
        <f aca="true">IFERROR(COUNTIFS(INDIRECT("'"&amp;C5&amp;"'!B:B"),$B16,INDIRECT("'"&amp;C5&amp;"'!C:C"),"Caixa",INDIRECT("'"&amp;C5&amp;"'!D:D"),C4),0)</f>
        <v>0</v>
      </c>
      <c r="J16" s="24" t="n">
        <f aca="true">IFERROR(SUMIFS(INDIRECT("'"&amp;C5&amp;"'!E:E"),INDIRECT("'"&amp;C5&amp;"'!B:B"),$B16,INDIRECT("'"&amp;C5&amp;"'!C:C"),"Caixa",INDIRECT("'"&amp;C5&amp;"'!D:D"),C4),0)</f>
        <v>0</v>
      </c>
      <c r="K16" s="25" t="n">
        <f aca="false">IFERROR(C16+E16+G16+I16,0)</f>
        <v>0</v>
      </c>
      <c r="L16" s="26" t="n">
        <f aca="false">IFERROR(D16+F16+H16+J16,0)</f>
        <v>0</v>
      </c>
      <c r="M16" s="1"/>
    </row>
    <row r="17" customFormat="false" ht="24" hidden="false" customHeight="true" outlineLevel="0" collapsed="false">
      <c r="A17" s="1"/>
      <c r="B17" s="27" t="s">
        <v>11</v>
      </c>
      <c r="C17" s="19" t="n">
        <f aca="true">IFERROR(COUNTIFS(INDIRECT("'"&amp;C5&amp;"'!B:B"),$B17,INDIRECT("'"&amp;C5&amp;"'!C:C"),"Débito à Vista",INDIRECT("'"&amp;C5&amp;"'!D:D"),C4),0)</f>
        <v>0</v>
      </c>
      <c r="D17" s="20" t="n">
        <f aca="true">IFERROR(SUMIFS(INDIRECT("'"&amp;C5&amp;"'!E:E"),INDIRECT("'"&amp;C5&amp;"'!B:B"),$B17,INDIRECT("'"&amp;C5&amp;"'!C:C"),"Débito à Vista",INDIRECT("'"&amp;C5&amp;"'!D:D"),C4),0)</f>
        <v>0</v>
      </c>
      <c r="E17" s="21" t="n">
        <f aca="true">IFERROR(COUNTIFS(INDIRECT("'"&amp;C5&amp;"'!B:B"),$B17,INDIRECT("'"&amp;C5&amp;"'!C:C"),"Crédito à Vista",INDIRECT("'"&amp;C5&amp;"'!D:D"),C4),0)</f>
        <v>0</v>
      </c>
      <c r="F17" s="22" t="n">
        <f aca="true">IFERROR(SUMIFS(INDIRECT("'"&amp;C5&amp;"'!E:E"),INDIRECT("'"&amp;C5&amp;"'!B:B"),$B17,INDIRECT("'"&amp;C5&amp;"'!C:C"),"Crédito à Vista",INDIRECT("'"&amp;C5&amp;"'!D:D"),C4),0)</f>
        <v>0</v>
      </c>
      <c r="G17" s="23" t="n">
        <f aca="true">IFERROR(COUNTIFS(INDIRECT("'"&amp;C5&amp;"'!B:B"),$B17,INDIRECT("'"&amp;C5&amp;"'!C:C"),"Sicoob",INDIRECT("'"&amp;C5&amp;"'!D:D"),C4),0)</f>
        <v>0</v>
      </c>
      <c r="H17" s="24" t="n">
        <f aca="true">IFERROR(SUMIFS(INDIRECT("'"&amp;C5&amp;"'!E:E"),INDIRECT("'"&amp;C5&amp;"'!B:B"),$B17,INDIRECT("'"&amp;C5&amp;"'!C:C"),"Sicoob",INDIRECT("'"&amp;C5&amp;"'!D:D"),C4),0)</f>
        <v>0</v>
      </c>
      <c r="I17" s="23" t="n">
        <f aca="true">IFERROR(COUNTIFS(INDIRECT("'"&amp;C5&amp;"'!B:B"),$B17,INDIRECT("'"&amp;C5&amp;"'!C:C"),"Caixa",INDIRECT("'"&amp;C5&amp;"'!D:D"),C4),0)</f>
        <v>0</v>
      </c>
      <c r="J17" s="24" t="n">
        <f aca="true">IFERROR(SUMIFS(INDIRECT("'"&amp;C5&amp;"'!E:E"),INDIRECT("'"&amp;C5&amp;"'!B:B"),$B17,INDIRECT("'"&amp;C5&amp;"'!C:C"),"Caixa",INDIRECT("'"&amp;C5&amp;"'!D:D"),C4),0)</f>
        <v>0</v>
      </c>
      <c r="K17" s="25" t="n">
        <f aca="false">IFERROR(C17+E17+G17+I17,0)</f>
        <v>0</v>
      </c>
      <c r="L17" s="26" t="n">
        <f aca="false">IFERROR(D17+F17+H17+J17,0)</f>
        <v>0</v>
      </c>
      <c r="M17" s="1"/>
    </row>
    <row r="18" customFormat="false" ht="24" hidden="false" customHeight="true" outlineLevel="0" collapsed="false">
      <c r="A18" s="1"/>
      <c r="B18" s="18" t="s">
        <v>12</v>
      </c>
      <c r="C18" s="19" t="n">
        <f aca="true">IFERROR(COUNTIFS(INDIRECT("'"&amp;C5&amp;"'!B:B"),$B18,INDIRECT("'"&amp;C5&amp;"'!C:C"),"Débito à Vista",INDIRECT("'"&amp;C5&amp;"'!D:D"),C4),0)</f>
        <v>0</v>
      </c>
      <c r="D18" s="20" t="n">
        <f aca="true">IFERROR(SUMIFS(INDIRECT("'"&amp;C5&amp;"'!E:E"),INDIRECT("'"&amp;C5&amp;"'!B:B"),$B18,INDIRECT("'"&amp;C5&amp;"'!C:C"),"Débito à Vista",INDIRECT("'"&amp;C5&amp;"'!D:D"),C4),0)</f>
        <v>0</v>
      </c>
      <c r="E18" s="21" t="n">
        <f aca="true">IFERROR(COUNTIFS(INDIRECT("'"&amp;C5&amp;"'!B:B"),$B18,INDIRECT("'"&amp;C5&amp;"'!C:C"),"Crédito à Vista",INDIRECT("'"&amp;C5&amp;"'!D:D"),C4),0)</f>
        <v>0</v>
      </c>
      <c r="F18" s="22" t="n">
        <f aca="true">IFERROR(SUMIFS(INDIRECT("'"&amp;C5&amp;"'!E:E"),INDIRECT("'"&amp;C5&amp;"'!B:B"),$B18,INDIRECT("'"&amp;C5&amp;"'!C:C"),"Crédito à Vista",INDIRECT("'"&amp;C5&amp;"'!D:D"),C4),0)</f>
        <v>0</v>
      </c>
      <c r="G18" s="23" t="n">
        <f aca="true">IFERROR(COUNTIFS(INDIRECT("'"&amp;C5&amp;"'!B:B"),$B18,INDIRECT("'"&amp;C5&amp;"'!C:C"),"Sicoob",INDIRECT("'"&amp;C5&amp;"'!D:D"),C4),0)</f>
        <v>0</v>
      </c>
      <c r="H18" s="24" t="n">
        <f aca="true">IFERROR(SUMIFS(INDIRECT("'"&amp;C5&amp;"'!E:E"),INDIRECT("'"&amp;C5&amp;"'!B:B"),$B18,INDIRECT("'"&amp;C5&amp;"'!C:C"),"Sicoob",INDIRECT("'"&amp;C5&amp;"'!D:D"),C4),0)</f>
        <v>0</v>
      </c>
      <c r="I18" s="23" t="n">
        <f aca="true">IFERROR(COUNTIFS(INDIRECT("'"&amp;C5&amp;"'!B:B"),$B18,INDIRECT("'"&amp;C5&amp;"'!C:C"),"Caixa",INDIRECT("'"&amp;C5&amp;"'!D:D"),C4),0)</f>
        <v>0</v>
      </c>
      <c r="J18" s="24" t="n">
        <f aca="true">IFERROR(SUMIFS(INDIRECT("'"&amp;C5&amp;"'!E:E"),INDIRECT("'"&amp;C5&amp;"'!B:B"),$B18,INDIRECT("'"&amp;C5&amp;"'!C:C"),"Caixa",INDIRECT("'"&amp;C5&amp;"'!D:D"),C4),0)</f>
        <v>0</v>
      </c>
      <c r="K18" s="25" t="n">
        <f aca="false">IFERROR(C18+E18+G18+I18,0)</f>
        <v>0</v>
      </c>
      <c r="L18" s="26" t="n">
        <f aca="false">IFERROR(D18+F18+H18+J18,0)</f>
        <v>0</v>
      </c>
      <c r="M18" s="1"/>
    </row>
    <row r="19" customFormat="false" ht="24" hidden="false" customHeight="true" outlineLevel="0" collapsed="false">
      <c r="A19" s="1"/>
      <c r="B19" s="27" t="s">
        <v>13</v>
      </c>
      <c r="C19" s="19" t="n">
        <f aca="true">IFERROR(COUNTIFS(INDIRECT("'"&amp;C5&amp;"'!B:B"),$B19,INDIRECT("'"&amp;C5&amp;"'!C:C"),"Débito à Vista",INDIRECT("'"&amp;C5&amp;"'!D:D"),C4),0)</f>
        <v>0</v>
      </c>
      <c r="D19" s="20" t="n">
        <f aca="true">IFERROR(SUMIFS(INDIRECT("'"&amp;C5&amp;"'!E:E"),INDIRECT("'"&amp;C5&amp;"'!B:B"),$B19,INDIRECT("'"&amp;C5&amp;"'!C:C"),"Débito à Vista",INDIRECT("'"&amp;C5&amp;"'!D:D"),C4),0)</f>
        <v>0</v>
      </c>
      <c r="E19" s="21" t="n">
        <f aca="true">IFERROR(COUNTIFS(INDIRECT("'"&amp;C5&amp;"'!B:B"),$B19,INDIRECT("'"&amp;C5&amp;"'!C:C"),"Crédito à Vista",INDIRECT("'"&amp;C5&amp;"'!D:D"),C4),0)</f>
        <v>0</v>
      </c>
      <c r="F19" s="22" t="n">
        <f aca="true">IFERROR(SUMIFS(INDIRECT("'"&amp;C5&amp;"'!E:E"),INDIRECT("'"&amp;C5&amp;"'!B:B"),$B19,INDIRECT("'"&amp;C5&amp;"'!C:C"),"Crédito à Vista",INDIRECT("'"&amp;C5&amp;"'!D:D"),C4),0)</f>
        <v>0</v>
      </c>
      <c r="G19" s="23" t="n">
        <f aca="true">IFERROR(COUNTIFS(INDIRECT("'"&amp;C5&amp;"'!B:B"),$B19,INDIRECT("'"&amp;C5&amp;"'!C:C"),"Sicoob",INDIRECT("'"&amp;C5&amp;"'!D:D"),C4),0)</f>
        <v>0</v>
      </c>
      <c r="H19" s="24" t="n">
        <f aca="true">IFERROR(SUMIFS(INDIRECT("'"&amp;C5&amp;"'!E:E"),INDIRECT("'"&amp;C5&amp;"'!B:B"),$B19,INDIRECT("'"&amp;C5&amp;"'!C:C"),"Sicoob",INDIRECT("'"&amp;C5&amp;"'!D:D"),C4),0)</f>
        <v>0</v>
      </c>
      <c r="I19" s="23" t="n">
        <f aca="true">IFERROR(COUNTIFS(INDIRECT("'"&amp;C5&amp;"'!B:B"),$B19,INDIRECT("'"&amp;C5&amp;"'!C:C"),"Caixa",INDIRECT("'"&amp;C5&amp;"'!D:D"),C4),0)</f>
        <v>0</v>
      </c>
      <c r="J19" s="24" t="n">
        <f aca="true">IFERROR(SUMIFS(INDIRECT("'"&amp;C5&amp;"'!E:E"),INDIRECT("'"&amp;C5&amp;"'!B:B"),$B19,INDIRECT("'"&amp;C5&amp;"'!C:C"),"Caixa",INDIRECT("'"&amp;C5&amp;"'!D:D"),C4),0)</f>
        <v>0</v>
      </c>
      <c r="K19" s="25" t="n">
        <f aca="false">IFERROR(C19+E19+G19+I19,0)</f>
        <v>0</v>
      </c>
      <c r="L19" s="26" t="n">
        <f aca="false">IFERROR(D19+F19+H19+J19,0)</f>
        <v>0</v>
      </c>
      <c r="M19" s="1"/>
    </row>
    <row r="20" customFormat="false" ht="24" hidden="false" customHeight="true" outlineLevel="0" collapsed="false">
      <c r="A20" s="1"/>
      <c r="B20" s="18" t="s">
        <v>14</v>
      </c>
      <c r="C20" s="19" t="n">
        <f aca="true">IFERROR(COUNTIFS(INDIRECT("'"&amp;C5&amp;"'!B:B"),$B20,INDIRECT("'"&amp;C5&amp;"'!C:C"),"Débito à Vista",INDIRECT("'"&amp;C5&amp;"'!D:D"),C4),0)</f>
        <v>0</v>
      </c>
      <c r="D20" s="20" t="n">
        <f aca="true">IFERROR(SUMIFS(INDIRECT("'"&amp;C5&amp;"'!E:E"),INDIRECT("'"&amp;C5&amp;"'!B:B"),$B20,INDIRECT("'"&amp;C5&amp;"'!C:C"),"Débito à Vista",INDIRECT("'"&amp;C5&amp;"'!D:D"),C4),0)</f>
        <v>0</v>
      </c>
      <c r="E20" s="21" t="n">
        <f aca="true">IFERROR(COUNTIFS(INDIRECT("'"&amp;C5&amp;"'!B:B"),$B20,INDIRECT("'"&amp;C5&amp;"'!C:C"),"Crédito à Vista",INDIRECT("'"&amp;C5&amp;"'!D:D"),C4),0)</f>
        <v>0</v>
      </c>
      <c r="F20" s="22" t="n">
        <f aca="true">IFERROR(SUMIFS(INDIRECT("'"&amp;C5&amp;"'!E:E"),INDIRECT("'"&amp;C5&amp;"'!B:B"),$B20,INDIRECT("'"&amp;C5&amp;"'!C:C"),"Crédito à Vista",INDIRECT("'"&amp;C5&amp;"'!D:D"),C4),0)</f>
        <v>0</v>
      </c>
      <c r="G20" s="23" t="n">
        <f aca="true">IFERROR(COUNTIFS(INDIRECT("'"&amp;C5&amp;"'!B:B"),$B20,INDIRECT("'"&amp;C5&amp;"'!C:C"),"Sicoob",INDIRECT("'"&amp;C5&amp;"'!D:D"),C4),0)</f>
        <v>0</v>
      </c>
      <c r="H20" s="24" t="n">
        <f aca="true">IFERROR(SUMIFS(INDIRECT("'"&amp;C5&amp;"'!E:E"),INDIRECT("'"&amp;C5&amp;"'!B:B"),$B20,INDIRECT("'"&amp;C5&amp;"'!C:C"),"Sicoob",INDIRECT("'"&amp;C5&amp;"'!D:D"),C4),0)</f>
        <v>0</v>
      </c>
      <c r="I20" s="23" t="n">
        <f aca="true">IFERROR(COUNTIFS(INDIRECT("'"&amp;C5&amp;"'!B:B"),$B20,INDIRECT("'"&amp;C5&amp;"'!C:C"),"Caixa",INDIRECT("'"&amp;C5&amp;"'!D:D"),C4),0)</f>
        <v>0</v>
      </c>
      <c r="J20" s="24" t="n">
        <f aca="true">IFERROR(SUMIFS(INDIRECT("'"&amp;C5&amp;"'!E:E"),INDIRECT("'"&amp;C5&amp;"'!B:B"),$B20,INDIRECT("'"&amp;C5&amp;"'!C:C"),"Caixa",INDIRECT("'"&amp;C5&amp;"'!D:D"),C4),0)</f>
        <v>0</v>
      </c>
      <c r="K20" s="25" t="n">
        <f aca="false">IFERROR(C20+E20+G20+I20,0)</f>
        <v>0</v>
      </c>
      <c r="L20" s="26" t="n">
        <f aca="false">IFERROR(D20+F20+H20+J20,0)</f>
        <v>0</v>
      </c>
      <c r="M20" s="1"/>
    </row>
    <row r="21" customFormat="false" ht="24" hidden="false" customHeight="true" outlineLevel="0" collapsed="false">
      <c r="A21" s="1"/>
      <c r="B21" s="27" t="s">
        <v>15</v>
      </c>
      <c r="C21" s="19" t="n">
        <f aca="true">IFERROR(COUNTIFS(INDIRECT("'"&amp;C5&amp;"'!B:B"),$B21,INDIRECT("'"&amp;C5&amp;"'!C:C"),"Débito à Vista",INDIRECT("'"&amp;C5&amp;"'!D:D"),C4),0)</f>
        <v>0</v>
      </c>
      <c r="D21" s="20" t="n">
        <f aca="true">IFERROR(SUMIFS(INDIRECT("'"&amp;C5&amp;"'!E:E"),INDIRECT("'"&amp;C5&amp;"'!B:B"),$B21,INDIRECT("'"&amp;C5&amp;"'!C:C"),"Débito à Vista",INDIRECT("'"&amp;C5&amp;"'!D:D"),C4),0)</f>
        <v>0</v>
      </c>
      <c r="E21" s="21" t="n">
        <f aca="true">IFERROR(COUNTIFS(INDIRECT("'"&amp;C5&amp;"'!B:B"),$B21,INDIRECT("'"&amp;C5&amp;"'!C:C"),"Crédito à Vista",INDIRECT("'"&amp;C5&amp;"'!D:D"),C4),0)</f>
        <v>0</v>
      </c>
      <c r="F21" s="22" t="n">
        <f aca="true">IFERROR(SUMIFS(INDIRECT("'"&amp;C5&amp;"'!E:E"),INDIRECT("'"&amp;C5&amp;"'!B:B"),$B21,INDIRECT("'"&amp;C5&amp;"'!C:C"),"Crédito à Vista",INDIRECT("'"&amp;C5&amp;"'!D:D"),C4),0)</f>
        <v>0</v>
      </c>
      <c r="G21" s="23" t="n">
        <f aca="true">IFERROR(COUNTIFS(INDIRECT("'"&amp;C5&amp;"'!B:B"),$B21,INDIRECT("'"&amp;C5&amp;"'!C:C"),"Sicoob",INDIRECT("'"&amp;C5&amp;"'!D:D"),C4),0)</f>
        <v>0</v>
      </c>
      <c r="H21" s="24" t="n">
        <f aca="true">IFERROR(SUMIFS(INDIRECT("'"&amp;C5&amp;"'!E:E"),INDIRECT("'"&amp;C5&amp;"'!B:B"),$B21,INDIRECT("'"&amp;C5&amp;"'!C:C"),"Sicoob",INDIRECT("'"&amp;C5&amp;"'!D:D"),C4),0)</f>
        <v>0</v>
      </c>
      <c r="I21" s="23" t="n">
        <f aca="true">IFERROR(COUNTIFS(INDIRECT("'"&amp;C5&amp;"'!B:B"),$B21,INDIRECT("'"&amp;C5&amp;"'!C:C"),"Caixa",INDIRECT("'"&amp;C5&amp;"'!D:D"),C4),0)</f>
        <v>0</v>
      </c>
      <c r="J21" s="24" t="n">
        <f aca="true">IFERROR(SUMIFS(INDIRECT("'"&amp;C5&amp;"'!E:E"),INDIRECT("'"&amp;C5&amp;"'!B:B"),$B21,INDIRECT("'"&amp;C5&amp;"'!C:C"),"Caixa",INDIRECT("'"&amp;C5&amp;"'!D:D"),C4),0)</f>
        <v>0</v>
      </c>
      <c r="K21" s="25" t="n">
        <f aca="false">IFERROR(C21+E21+G21+I21,0)</f>
        <v>0</v>
      </c>
      <c r="L21" s="26" t="n">
        <f aca="false">IFERROR(D21+F21+H21+J21,0)</f>
        <v>0</v>
      </c>
      <c r="M21" s="1"/>
    </row>
    <row r="22" customFormat="false" ht="24" hidden="false" customHeight="true" outlineLevel="0" collapsed="false">
      <c r="A22" s="1"/>
      <c r="B22" s="18" t="s">
        <v>16</v>
      </c>
      <c r="C22" s="19" t="n">
        <f aca="true">IFERROR(COUNTIFS(INDIRECT("'"&amp;C5&amp;"'!B:B"),$B22,INDIRECT("'"&amp;C5&amp;"'!C:C"),"Débito à Vista",INDIRECT("'"&amp;C5&amp;"'!D:D"),C4),0)</f>
        <v>0</v>
      </c>
      <c r="D22" s="20" t="n">
        <f aca="true">IFERROR(SUMIFS(INDIRECT("'"&amp;C5&amp;"'!E:E"),INDIRECT("'"&amp;C5&amp;"'!B:B"),$B22,INDIRECT("'"&amp;C5&amp;"'!C:C"),"Débito à Vista",INDIRECT("'"&amp;C5&amp;"'!D:D"),C4),0)</f>
        <v>0</v>
      </c>
      <c r="E22" s="21" t="n">
        <f aca="true">IFERROR(COUNTIFS(INDIRECT("'"&amp;C5&amp;"'!B:B"),$B22,INDIRECT("'"&amp;C5&amp;"'!C:C"),"Crédito à Vista",INDIRECT("'"&amp;C5&amp;"'!D:D"),C4),0)</f>
        <v>0</v>
      </c>
      <c r="F22" s="22" t="n">
        <f aca="true">IFERROR(SUMIFS(INDIRECT("'"&amp;C5&amp;"'!E:E"),INDIRECT("'"&amp;C5&amp;"'!B:B"),$B22,INDIRECT("'"&amp;C5&amp;"'!C:C"),"Crédito à Vista",INDIRECT("'"&amp;C5&amp;"'!D:D"),C4),0)</f>
        <v>0</v>
      </c>
      <c r="G22" s="23" t="n">
        <f aca="true">IFERROR(COUNTIFS(INDIRECT("'"&amp;C5&amp;"'!B:B"),$B22,INDIRECT("'"&amp;C5&amp;"'!C:C"),"Sicoob",INDIRECT("'"&amp;C5&amp;"'!D:D"),C4),0)</f>
        <v>0</v>
      </c>
      <c r="H22" s="24" t="n">
        <f aca="true">IFERROR(SUMIFS(INDIRECT("'"&amp;C5&amp;"'!E:E"),INDIRECT("'"&amp;C5&amp;"'!B:B"),$B22,INDIRECT("'"&amp;C5&amp;"'!C:C"),"Sicoob",INDIRECT("'"&amp;C5&amp;"'!D:D"),C4),0)</f>
        <v>0</v>
      </c>
      <c r="I22" s="23" t="n">
        <f aca="true">IFERROR(COUNTIFS(INDIRECT("'"&amp;C5&amp;"'!B:B"),$B22,INDIRECT("'"&amp;C5&amp;"'!C:C"),"Caixa",INDIRECT("'"&amp;C5&amp;"'!D:D"),C4),0)</f>
        <v>0</v>
      </c>
      <c r="J22" s="24" t="n">
        <f aca="true">IFERROR(SUMIFS(INDIRECT("'"&amp;C5&amp;"'!E:E"),INDIRECT("'"&amp;C5&amp;"'!B:B"),$B22,INDIRECT("'"&amp;C5&amp;"'!C:C"),"Caixa",INDIRECT("'"&amp;C5&amp;"'!D:D"),C4),0)</f>
        <v>0</v>
      </c>
      <c r="K22" s="25" t="n">
        <f aca="false">IFERROR(C22+E22+G22+I22,0)</f>
        <v>0</v>
      </c>
      <c r="L22" s="26" t="n">
        <f aca="false">IFERROR(D22+F22+H22+J22,0)</f>
        <v>0</v>
      </c>
      <c r="M22" s="1"/>
    </row>
    <row r="23" customFormat="false" ht="24" hidden="false" customHeight="true" outlineLevel="0" collapsed="false">
      <c r="A23" s="1"/>
      <c r="B23" s="27" t="s">
        <v>17</v>
      </c>
      <c r="C23" s="19" t="n">
        <f aca="true">IFERROR(COUNTIFS(INDIRECT("'"&amp;C5&amp;"'!B:B"),$B23,INDIRECT("'"&amp;C5&amp;"'!C:C"),"Débito à Vista",INDIRECT("'"&amp;C5&amp;"'!D:D"),C4),0)</f>
        <v>0</v>
      </c>
      <c r="D23" s="20" t="n">
        <f aca="true">IFERROR(SUMIFS(INDIRECT("'"&amp;C5&amp;"'!E:E"),INDIRECT("'"&amp;C5&amp;"'!B:B"),$B23,INDIRECT("'"&amp;C5&amp;"'!C:C"),"Débito à Vista",INDIRECT("'"&amp;C5&amp;"'!D:D"),C4),0)</f>
        <v>0</v>
      </c>
      <c r="E23" s="21" t="n">
        <f aca="true">IFERROR(COUNTIFS(INDIRECT("'"&amp;C5&amp;"'!B:B"),$B23,INDIRECT("'"&amp;C5&amp;"'!C:C"),"Crédito à Vista",INDIRECT("'"&amp;C5&amp;"'!D:D"),C4),0)</f>
        <v>0</v>
      </c>
      <c r="F23" s="22" t="n">
        <f aca="true">IFERROR(SUMIFS(INDIRECT("'"&amp;C5&amp;"'!E:E"),INDIRECT("'"&amp;C5&amp;"'!B:B"),$B23,INDIRECT("'"&amp;C5&amp;"'!C:C"),"Crédito à Vista",INDIRECT("'"&amp;C5&amp;"'!D:D"),C4),0)</f>
        <v>0</v>
      </c>
      <c r="G23" s="23" t="n">
        <f aca="true">IFERROR(COUNTIFS(INDIRECT("'"&amp;C5&amp;"'!B:B"),$B23,INDIRECT("'"&amp;C5&amp;"'!C:C"),"Sicoob",INDIRECT("'"&amp;C5&amp;"'!D:D"),C4),0)</f>
        <v>0</v>
      </c>
      <c r="H23" s="24" t="n">
        <f aca="true">IFERROR(SUMIFS(INDIRECT("'"&amp;C5&amp;"'!E:E"),INDIRECT("'"&amp;C5&amp;"'!B:B"),$B23,INDIRECT("'"&amp;C5&amp;"'!C:C"),"Sicoob",INDIRECT("'"&amp;C5&amp;"'!D:D"),C4),0)</f>
        <v>0</v>
      </c>
      <c r="I23" s="23" t="n">
        <f aca="true">IFERROR(COUNTIFS(INDIRECT("'"&amp;C5&amp;"'!B:B"),$B23,INDIRECT("'"&amp;C5&amp;"'!C:C"),"Caixa",INDIRECT("'"&amp;C5&amp;"'!D:D"),C4),0)</f>
        <v>0</v>
      </c>
      <c r="J23" s="24" t="n">
        <f aca="true">IFERROR(SUMIFS(INDIRECT("'"&amp;C5&amp;"'!E:E"),INDIRECT("'"&amp;C5&amp;"'!B:B"),$B23,INDIRECT("'"&amp;C5&amp;"'!C:C"),"Caixa",INDIRECT("'"&amp;C5&amp;"'!D:D"),C4),0)</f>
        <v>0</v>
      </c>
      <c r="K23" s="25" t="n">
        <f aca="false">IFERROR(C23+E23+G23+I23,0)</f>
        <v>0</v>
      </c>
      <c r="L23" s="26" t="n">
        <f aca="false">IFERROR(D23+F23+H23+J23,0)</f>
        <v>0</v>
      </c>
      <c r="M23" s="1"/>
    </row>
    <row r="24" customFormat="false" ht="24" hidden="false" customHeight="true" outlineLevel="0" collapsed="false">
      <c r="A24" s="1"/>
      <c r="B24" s="18" t="s">
        <v>18</v>
      </c>
      <c r="C24" s="19" t="n">
        <f aca="true">IFERROR(COUNTIFS(INDIRECT("'"&amp;C5&amp;"'!B:B"),$B24,INDIRECT("'"&amp;C5&amp;"'!C:C"),"Débito à Vista",INDIRECT("'"&amp;C5&amp;"'!D:D"),C4),0)</f>
        <v>0</v>
      </c>
      <c r="D24" s="20" t="n">
        <f aca="true">IFERROR(SUMIFS(INDIRECT("'"&amp;C5&amp;"'!E:E"),INDIRECT("'"&amp;C5&amp;"'!B:B"),$B24,INDIRECT("'"&amp;C5&amp;"'!C:C"),"Débito à Vista",INDIRECT("'"&amp;C5&amp;"'!D:D"),C4),0)</f>
        <v>0</v>
      </c>
      <c r="E24" s="21" t="n">
        <f aca="true">IFERROR(COUNTIFS(INDIRECT("'"&amp;C5&amp;"'!B:B"),$B24,INDIRECT("'"&amp;C5&amp;"'!C:C"),"Crédito à Vista",INDIRECT("'"&amp;C5&amp;"'!D:D"),C4),0)</f>
        <v>0</v>
      </c>
      <c r="F24" s="22" t="n">
        <f aca="true">IFERROR(SUMIFS(INDIRECT("'"&amp;C5&amp;"'!E:E"),INDIRECT("'"&amp;C5&amp;"'!B:B"),$B24,INDIRECT("'"&amp;C5&amp;"'!C:C"),"Crédito à Vista",INDIRECT("'"&amp;C5&amp;"'!D:D"),C4),0)</f>
        <v>0</v>
      </c>
      <c r="G24" s="23" t="n">
        <f aca="true">IFERROR(COUNTIFS(INDIRECT("'"&amp;C5&amp;"'!B:B"),$B24,INDIRECT("'"&amp;C5&amp;"'!C:C"),"Sicoob",INDIRECT("'"&amp;C5&amp;"'!D:D"),C4),0)</f>
        <v>0</v>
      </c>
      <c r="H24" s="24" t="n">
        <f aca="true">IFERROR(SUMIFS(INDIRECT("'"&amp;C5&amp;"'!E:E"),INDIRECT("'"&amp;C5&amp;"'!B:B"),$B24,INDIRECT("'"&amp;C5&amp;"'!C:C"),"Sicoob",INDIRECT("'"&amp;C5&amp;"'!D:D"),C4),0)</f>
        <v>0</v>
      </c>
      <c r="I24" s="23" t="n">
        <f aca="true">IFERROR(COUNTIFS(INDIRECT("'"&amp;C5&amp;"'!B:B"),$B24,INDIRECT("'"&amp;C5&amp;"'!C:C"),"Caixa",INDIRECT("'"&amp;C5&amp;"'!D:D"),C4),0)</f>
        <v>0</v>
      </c>
      <c r="J24" s="24" t="n">
        <f aca="true">IFERROR(SUMIFS(INDIRECT("'"&amp;C5&amp;"'!E:E"),INDIRECT("'"&amp;C5&amp;"'!B:B"),$B24,INDIRECT("'"&amp;C5&amp;"'!C:C"),"Caixa",INDIRECT("'"&amp;C5&amp;"'!D:D"),C4),0)</f>
        <v>0</v>
      </c>
      <c r="K24" s="25" t="n">
        <f aca="false">IFERROR(C24+E24+G24+I24,0)</f>
        <v>0</v>
      </c>
      <c r="L24" s="26" t="n">
        <f aca="false">IFERROR(D24+F24+H24+J24,0)</f>
        <v>0</v>
      </c>
      <c r="M24" s="1"/>
    </row>
    <row r="25" customFormat="false" ht="4.5" hidden="false" customHeight="true" outlineLevel="0" collapsed="false">
      <c r="A25" s="28"/>
      <c r="B25" s="29" t="s">
        <v>19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30"/>
    </row>
    <row r="26" customFormat="false" ht="27.75" hidden="false" customHeight="true" outlineLevel="0" collapsed="false">
      <c r="A26" s="1"/>
      <c r="B26" s="31" t="s">
        <v>19</v>
      </c>
      <c r="C26" s="19" t="n">
        <f aca="true">IFERROR(COUNTIFS(INDIRECT("'"&amp;C5&amp;"'!B:B"),"PIX",INDIRECT("'"&amp;C5&amp;"'!C:C"),"Débito à Vista",INDIRECT("'"&amp;C5&amp;"'!D:D"),C4),0)</f>
        <v>0</v>
      </c>
      <c r="D26" s="20" t="n">
        <f aca="true">IFERROR(SUMIFS(INDIRECT("'"&amp;C5&amp;"'!E:E"),INDIRECT("'"&amp;C5&amp;"'!B:B"),"PIX",INDIRECT("'"&amp;C5&amp;"'!C:C"),"Débito à Vista",INDIRECT("'"&amp;C5&amp;"'!D:D"),C4),0)</f>
        <v>0</v>
      </c>
      <c r="E26" s="21" t="n">
        <f aca="true">IFERROR(COUNTIFS(INDIRECT("'"&amp;C5&amp;"'!B:B"),"PIX",INDIRECT("'"&amp;C5&amp;"'!C:C"),"Crédito à Vista",INDIRECT("'"&amp;C5&amp;"'!D:D"),C4),0)</f>
        <v>0</v>
      </c>
      <c r="F26" s="22" t="n">
        <f aca="true">IFERROR(SUMIFS(INDIRECT("'"&amp;C5&amp;"'!E:E"),INDIRECT("'"&amp;C5&amp;"'!B:B"),"PIX",INDIRECT("'"&amp;C5&amp;"'!C:C"),"Crédito à Vista",INDIRECT("'"&amp;C5&amp;"'!D:D"),C4),0)</f>
        <v>0</v>
      </c>
      <c r="G26" s="23" t="n">
        <f aca="true">IFERROR(COUNTIFS(INDIRECT("'"&amp;C5&amp;"'!B:B"),"PIX",INDIRECT("'"&amp;C5&amp;"'!C:C"),"Sicoob",INDIRECT("'"&amp;C5&amp;"'!D:D"),C4),0)</f>
        <v>0</v>
      </c>
      <c r="H26" s="24" t="n">
        <f aca="true">IFERROR(SUMIFS(INDIRECT("'"&amp;C5&amp;"'!E:E"),INDIRECT("'"&amp;C5&amp;"'!B:B"),"PIX",INDIRECT("'"&amp;C5&amp;"'!C:C"),"Sicoob",INDIRECT("'"&amp;C5&amp;"'!D:D"),C4),0)</f>
        <v>0</v>
      </c>
      <c r="I26" s="23" t="n">
        <f aca="true">IFERROR(COUNTIFS(INDIRECT("'"&amp;C5&amp;"'!B:B"),"PIX",INDIRECT("'"&amp;C5&amp;"'!C:C"),"Caixa",INDIRECT("'"&amp;C5&amp;"'!D:D"),C4),0)</f>
        <v>0</v>
      </c>
      <c r="J26" s="24" t="n">
        <f aca="true">IFERROR(SUMIFS(INDIRECT("'"&amp;C5&amp;"'!E:E"),INDIRECT("'"&amp;C5&amp;"'!B:B"),"PIX",INDIRECT("'"&amp;C5&amp;"'!C:C"),"Caixa",INDIRECT("'"&amp;C5&amp;"'!D:D"),C4),0)</f>
        <v>0</v>
      </c>
      <c r="K26" s="32" t="n">
        <f aca="false">IFERROR(C26+E26+G26+I26,0)</f>
        <v>0</v>
      </c>
      <c r="L26" s="33" t="n">
        <f aca="false">IFERROR(D26+F26+H26+J26,0)</f>
        <v>0</v>
      </c>
      <c r="M26" s="1"/>
    </row>
    <row r="27" customFormat="false" ht="30" hidden="false" customHeight="true" outlineLevel="0" collapsed="false">
      <c r="A27" s="1"/>
      <c r="B27" s="34" t="s">
        <v>29</v>
      </c>
      <c r="C27" s="32" t="n">
        <f aca="false">IFERROR(SUM(C10:C26),0)</f>
        <v>0</v>
      </c>
      <c r="D27" s="33" t="n">
        <f aca="false">IFERROR(SUM(D10:D26),0)</f>
        <v>0</v>
      </c>
      <c r="E27" s="32" t="n">
        <f aca="false">IFERROR(SUM(E10:E26),0)</f>
        <v>0</v>
      </c>
      <c r="F27" s="33" t="n">
        <f aca="false">IFERROR(SUM(F10:F26),0)</f>
        <v>0</v>
      </c>
      <c r="G27" s="32" t="n">
        <f aca="false">IFERROR(SUM(G10:G26),0)</f>
        <v>0</v>
      </c>
      <c r="H27" s="33" t="n">
        <f aca="false">IFERROR(SUM(H10:H26),0)</f>
        <v>0</v>
      </c>
      <c r="I27" s="32" t="n">
        <f aca="false">IFERROR(SUM(I10:I26),0)</f>
        <v>0</v>
      </c>
      <c r="J27" s="33" t="n">
        <f aca="false">IFERROR(SUM(J10:J26),0)</f>
        <v>0</v>
      </c>
      <c r="K27" s="35" t="n">
        <f aca="false">IFERROR(SUM(K10:K26),0)</f>
        <v>0</v>
      </c>
      <c r="L27" s="36" t="n">
        <f aca="false">IFERROR(SUM(L10:L26),0)</f>
        <v>0</v>
      </c>
      <c r="M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mergeCells count="11">
    <mergeCell ref="B2:L2"/>
    <mergeCell ref="C4:D4"/>
    <mergeCell ref="E4:L4"/>
    <mergeCell ref="C7:F7"/>
    <mergeCell ref="G7:J7"/>
    <mergeCell ref="K7:L7"/>
    <mergeCell ref="C8:D8"/>
    <mergeCell ref="E8:F8"/>
    <mergeCell ref="G8:H8"/>
    <mergeCell ref="I8:J8"/>
    <mergeCell ref="K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2026-05-10T00:32:47Z</dcterms:created>
  <dc:creator>openpyxl</dc:creator>
  <dc:description/>
  <dc:language>en-US</dc:language>
  <cp:lastModifiedBy/>
  <dcterms:modified xsi:type="dcterms:W3CDTF">2026-05-10T00:32:47Z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